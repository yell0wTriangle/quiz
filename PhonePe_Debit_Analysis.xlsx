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bit Transactions" sheetId="1" r:id="rId5"/>
    <sheet state="visible" name="Summary" sheetId="2" r:id="rId6"/>
    <sheet state="visible" name="Monthly Breakdown" sheetId="3" r:id="rId7"/>
    <sheet state="visible" name="FY 25 Summary" sheetId="4" r:id="rId8"/>
    <sheet state="visible" name="FY 26 Summary" sheetId="5" r:id="rId9"/>
    <sheet state="visible" name="IT Questions for Quiz" sheetId="6" r:id="rId10"/>
  </sheets>
  <definedNames/>
  <calcPr/>
</workbook>
</file>

<file path=xl/sharedStrings.xml><?xml version="1.0" encoding="utf-8"?>
<sst xmlns="http://schemas.openxmlformats.org/spreadsheetml/2006/main" count="11842" uniqueCount="3509">
  <si>
    <t>FY</t>
  </si>
  <si>
    <t>Debit Spend Summary — Above vs Below INR 500, by Financial Year</t>
  </si>
  <si>
    <t>Monthly Debit Spend by Bucket</t>
  </si>
  <si>
    <t>Bucket</t>
  </si>
  <si>
    <t>Date</t>
  </si>
  <si>
    <t>Month</t>
  </si>
  <si>
    <t>Merchant / Details</t>
  </si>
  <si>
    <t>Amount (INR)</t>
  </si>
  <si>
    <t>FY2024-25</t>
  </si>
  <si>
    <t>Total Transactions</t>
  </si>
  <si>
    <t>Financial Year</t>
  </si>
  <si>
    <t>Total Value (INR)</t>
  </si>
  <si>
    <t>Above 500</t>
  </si>
  <si>
    <t>Transaction Count</t>
  </si>
  <si>
    <t>Total Amount (INR)</t>
  </si>
  <si>
    <t>Average Amount (INR)</t>
  </si>
  <si>
    <t>% of FY Debit Spend</t>
  </si>
  <si>
    <t>Apr-2024</t>
  </si>
  <si>
    <t>Paid to Fresh Signature Bhubaneshwar 2553</t>
  </si>
  <si>
    <t>Above 500 - Count</t>
  </si>
  <si>
    <t>Above 500 - Amount</t>
  </si>
  <si>
    <t>500 &amp; Below - Count</t>
  </si>
  <si>
    <t>500 &amp; Below - Amount</t>
  </si>
  <si>
    <t>Total Amount</t>
  </si>
  <si>
    <t>Paid to Sitanath jena</t>
  </si>
  <si>
    <t>Paid to CAPITAL REGION URBAN TRANSPORT</t>
  </si>
  <si>
    <t>Paid to HOTEL SHREE VINEETH'S</t>
  </si>
  <si>
    <t>Paid to ******9891</t>
  </si>
  <si>
    <t>Paid to Mrutyunjay Sahoo</t>
  </si>
  <si>
    <t>Paid to Mr SUSANTA MOHAPAT</t>
  </si>
  <si>
    <t>Paid to Anil Kumar Dash</t>
  </si>
  <si>
    <t>500 &amp; Below</t>
  </si>
  <si>
    <t>Paid to Airtel Prepaid Recharges</t>
  </si>
  <si>
    <t>Paid to VODAFONE IDEA LIMITED</t>
  </si>
  <si>
    <t>Paid to PUSTAK MANDEER</t>
  </si>
  <si>
    <t>Paid to RAJDHANI COLLAGE CANTEEN</t>
  </si>
  <si>
    <t>Paid to Amazon Pay</t>
  </si>
  <si>
    <t>Paid to Amazon Bill Pay</t>
  </si>
  <si>
    <t>Paid to SUSANTA KUMAR SAHU</t>
  </si>
  <si>
    <t>Paid to Das verity store</t>
  </si>
  <si>
    <t>Paid to NIRANJAN PARIDA</t>
  </si>
  <si>
    <t>Paid to VODAFONEIDEA LIMITED</t>
  </si>
  <si>
    <t>Paid to ******5342</t>
  </si>
  <si>
    <t>Paid to asd</t>
  </si>
  <si>
    <t>Paid to PRAYASI KHATAI</t>
  </si>
  <si>
    <t>Paid to O Kareem Family Restaurant</t>
  </si>
  <si>
    <t>Paid to MRUTYUNJAYA SAHOO</t>
  </si>
  <si>
    <t>Paid to Veg Sandwich</t>
  </si>
  <si>
    <t>Paid to Director of Municipal Administration</t>
  </si>
  <si>
    <t>May-2024</t>
  </si>
  <si>
    <t>Paid to SURESH KUMAR BEHERA</t>
  </si>
  <si>
    <t>Paid to RAJDHANI CAKE</t>
  </si>
  <si>
    <t>Paid to WATCO</t>
  </si>
  <si>
    <t>Paid to ******5992</t>
  </si>
  <si>
    <t>FY Total</t>
  </si>
  <si>
    <t>FY2025-26</t>
  </si>
  <si>
    <t>Paid to AMAZON SELLER SERVICES PRIVATE LIMITED</t>
  </si>
  <si>
    <t>Paid to BHARAT BHUSAN JAGADEV</t>
  </si>
  <si>
    <t>Paid to Omm Maa Communication</t>
  </si>
  <si>
    <t>Paid to AKSHYA KUMAR SAHOO</t>
  </si>
  <si>
    <t>Paid to IRCTC Web UPI</t>
  </si>
  <si>
    <t>Paid to eazypay</t>
  </si>
  <si>
    <t>Paid to SMK HOT CHIPS</t>
  </si>
  <si>
    <t>Jun-2024</t>
  </si>
  <si>
    <t>Paid to Lalchand Jewellers</t>
  </si>
  <si>
    <t>Paid to M S CUTTACKWALA JEWELLERS A UNIT OF BISHANDAYAL</t>
  </si>
  <si>
    <t>Grand Total (Both FY)</t>
  </si>
  <si>
    <t>Paid to SUBHASIS BISWAL</t>
  </si>
  <si>
    <t>Paid to Shishir senapati</t>
  </si>
  <si>
    <t>Paid to Vi</t>
  </si>
  <si>
    <t>Paid to LOKANATH SETHI</t>
  </si>
  <si>
    <t>Jul-2024</t>
  </si>
  <si>
    <t>Paid to Narayan Chandra Bhakta</t>
  </si>
  <si>
    <t>Paid to INSTITUTE OF CYBER TECHNOLOGY SOL</t>
  </si>
  <si>
    <t>Paid to MADHU SUDAN ROUTRAY</t>
  </si>
  <si>
    <t>Paid to Some Place Else</t>
  </si>
  <si>
    <t>Paid to Sahoo omfed</t>
  </si>
  <si>
    <t>Paid to BIGTREE ENTERTAINMENT PRIVATE LIMITED</t>
  </si>
  <si>
    <t>Paid to Priya-Raghav</t>
  </si>
  <si>
    <t>Paid to Jena variety store</t>
  </si>
  <si>
    <t>Paid to WATERSPORTS CBR 2</t>
  </si>
  <si>
    <t>Paid to WATERSPORTS CBR 3</t>
  </si>
  <si>
    <t>Paid to R AJEETHKUMAR</t>
  </si>
  <si>
    <t>Aug-2024</t>
  </si>
  <si>
    <t>Paid to ILAKIYA MESS</t>
  </si>
  <si>
    <t>Paid to City Store</t>
  </si>
  <si>
    <t>Paid to Shiva</t>
  </si>
  <si>
    <t>Paid to Silvia</t>
  </si>
  <si>
    <t>Paid to Athiksha food char corner</t>
  </si>
  <si>
    <t>Paid to AVENTURE DANCING MULTI CUISINE RESTAURANT</t>
  </si>
  <si>
    <t>Paid to CLOAKTECH SOLUTIONS</t>
  </si>
  <si>
    <t>Paid to P Thamizhlselvan</t>
  </si>
  <si>
    <t>Paid to Villupuram</t>
  </si>
  <si>
    <t>Paid to Subramaniyan senthilkumar</t>
  </si>
  <si>
    <t>Paid to Lambodar Naik</t>
  </si>
  <si>
    <t>Sep-2024</t>
  </si>
  <si>
    <t>Paid to prakash mahakud</t>
  </si>
  <si>
    <t>Paid to sarat das</t>
  </si>
  <si>
    <t>Paid to Ms JENA VARIETY STORE</t>
  </si>
  <si>
    <t>Paid to Maa Dakhinakali Hotel</t>
  </si>
  <si>
    <t>Oct-2024</t>
  </si>
  <si>
    <t>Paid to GIRIDHARI NAYAK</t>
  </si>
  <si>
    <t>Paid to Sahu Snax</t>
  </si>
  <si>
    <t>Paid to MAHALAXMI HOMOEOPATHY AGE</t>
  </si>
  <si>
    <t>Paid to OMM MAA JUICE AND LASSI</t>
  </si>
  <si>
    <t>Paid to ******6727</t>
  </si>
  <si>
    <t>Paid to Sanjay Kumar Sethi</t>
  </si>
  <si>
    <t>Paid to Sidha mahaveer verity store</t>
  </si>
  <si>
    <t>Paid to Sathee Book Store</t>
  </si>
  <si>
    <t>Nov-2024</t>
  </si>
  <si>
    <t>Paid to NIRANJAN MOHANTY</t>
  </si>
  <si>
    <t>Paid to Maheswar Nayak</t>
  </si>
  <si>
    <t>Paid to Sanjay Kumar sethy</t>
  </si>
  <si>
    <t>Paid to CITY TRAVELS</t>
  </si>
  <si>
    <t>Paid to MAA BASANTI DURGA FILLING</t>
  </si>
  <si>
    <t>Paid to Sai Pooja Hotel Fastfood</t>
  </si>
  <si>
    <t>Dec-2024</t>
  </si>
  <si>
    <t>Paid to Roti sabji Co.in</t>
  </si>
  <si>
    <t>Paid to 7978517834paytm</t>
  </si>
  <si>
    <t>Paid to SK DRUG HOUSE</t>
  </si>
  <si>
    <t>Paid to ANDA RAM</t>
  </si>
  <si>
    <t>Paid to ******6588</t>
  </si>
  <si>
    <t>Paid to Satyabrata</t>
  </si>
  <si>
    <t>Paid to Ashok Kumar Sahoo</t>
  </si>
  <si>
    <t>Paid to Airtel</t>
  </si>
  <si>
    <t>Jan-2025</t>
  </si>
  <si>
    <t>Q#</t>
  </si>
  <si>
    <t>Topic</t>
  </si>
  <si>
    <t>Question Description</t>
  </si>
  <si>
    <t>Option A</t>
  </si>
  <si>
    <t>Paid to ******2662</t>
  </si>
  <si>
    <t>Option B</t>
  </si>
  <si>
    <t>Option C</t>
  </si>
  <si>
    <t>Option D</t>
  </si>
  <si>
    <t>Correct Option</t>
  </si>
  <si>
    <t>SECTION: WORD</t>
  </si>
  <si>
    <t>Paid to PADMALAYA</t>
  </si>
  <si>
    <t>Paid to BIJAN PATI</t>
  </si>
  <si>
    <t>Paid to Priya</t>
  </si>
  <si>
    <t>Paid to BALARAM PRUSTY</t>
  </si>
  <si>
    <t>Feb-2025</t>
  </si>
  <si>
    <t>Word</t>
  </si>
  <si>
    <t>In Word, Page layout tab includes</t>
  </si>
  <si>
    <t>Create</t>
  </si>
  <si>
    <t>Show</t>
  </si>
  <si>
    <t>Paragraph</t>
  </si>
  <si>
    <t>Paid to Suchismita sahoo</t>
  </si>
  <si>
    <t>Tables</t>
  </si>
  <si>
    <t>C</t>
  </si>
  <si>
    <t>Page Setup group includes _________options.</t>
  </si>
  <si>
    <t>Orientation</t>
  </si>
  <si>
    <t>Breaks</t>
  </si>
  <si>
    <t>Hyphenation</t>
  </si>
  <si>
    <t>All of These</t>
  </si>
  <si>
    <t>D</t>
  </si>
  <si>
    <t>Margins define the amount of _________ that appears at the top, bottom, left and right edges of our document.</t>
  </si>
  <si>
    <t>Extra space</t>
  </si>
  <si>
    <t>White space</t>
  </si>
  <si>
    <t>Blank space</t>
  </si>
  <si>
    <t>Paid to The Venus</t>
  </si>
  <si>
    <t>No space</t>
  </si>
  <si>
    <t>B</t>
  </si>
  <si>
    <t>_________ margin setting adds extra space to the side margin or top margin of a document that we plan to bind.</t>
  </si>
  <si>
    <t>Page</t>
  </si>
  <si>
    <t>Gutter</t>
  </si>
  <si>
    <t>Semi Extra</t>
  </si>
  <si>
    <t>Adjust</t>
  </si>
  <si>
    <t>Portrait means _________</t>
  </si>
  <si>
    <t>Paid to MAHAVEER VT STORE</t>
  </si>
  <si>
    <t>Vertical</t>
  </si>
  <si>
    <t>Horizontal</t>
  </si>
  <si>
    <t>Both A and B</t>
  </si>
  <si>
    <t>Nither A Nor B</t>
  </si>
  <si>
    <t>A</t>
  </si>
  <si>
    <t>Paid to SURYANSU SEKHAR PANDA</t>
  </si>
  <si>
    <t>Business correspondence uses the default page size in Word.</t>
  </si>
  <si>
    <t>8 1/2 by 11</t>
  </si>
  <si>
    <t>8 1/2 by 10</t>
  </si>
  <si>
    <t>8 1/4 by 10</t>
  </si>
  <si>
    <t>None</t>
  </si>
  <si>
    <t>In News letters _________ option is used to splits the text into two or more areas and also available in word.</t>
  </si>
  <si>
    <t>Row</t>
  </si>
  <si>
    <t>Columns</t>
  </si>
  <si>
    <t>What feature in word allows you to track changes made to a document</t>
  </si>
  <si>
    <t>track change</t>
  </si>
  <si>
    <t>comments</t>
  </si>
  <si>
    <t>document inspector</t>
  </si>
  <si>
    <t>compare</t>
  </si>
  <si>
    <t>_________ Section break inserts the section break and then starts the new section on the next odd or even numbered page.</t>
  </si>
  <si>
    <t>Even or Odd</t>
  </si>
  <si>
    <t>Continuous</t>
  </si>
  <si>
    <t>Paid to User</t>
  </si>
  <si>
    <t>Next Page</t>
  </si>
  <si>
    <t>New Page</t>
  </si>
  <si>
    <t>Paid to RAJDHANI COLLEGE CANTEEN</t>
  </si>
  <si>
    <t>According to Add line numbers, Table is counted as one line.</t>
  </si>
  <si>
    <t>Mar-2025</t>
  </si>
  <si>
    <t>Can't Say</t>
  </si>
  <si>
    <t>Paid to Z MART</t>
  </si>
  <si>
    <t>Ctrl + A is used for</t>
  </si>
  <si>
    <t>Delet All</t>
  </si>
  <si>
    <t>Select All</t>
  </si>
  <si>
    <t>Unselect All</t>
  </si>
  <si>
    <t>Paid to GULAM HASAN</t>
  </si>
  <si>
    <t>Which of the following sortcuts will bold the selected text</t>
  </si>
  <si>
    <t>CTRL+ B</t>
  </si>
  <si>
    <t>CTRL+I</t>
  </si>
  <si>
    <t>CTRL+ U</t>
  </si>
  <si>
    <t>CTRL+ E</t>
  </si>
  <si>
    <t>Paid to MD SAKIL AHMAD</t>
  </si>
  <si>
    <t>Page Background includes</t>
  </si>
  <si>
    <t>Watermark</t>
  </si>
  <si>
    <t>Page Color</t>
  </si>
  <si>
    <t>Page Borders</t>
  </si>
  <si>
    <t>Paid to Mama Shoes</t>
  </si>
  <si>
    <t>Text flows around the image and hugs its shape.</t>
  </si>
  <si>
    <t>Tight</t>
  </si>
  <si>
    <t>Through</t>
  </si>
  <si>
    <t>Paid to Citi style odisha - Bhuwaneswar</t>
  </si>
  <si>
    <t>Behind Text</t>
  </si>
  <si>
    <t>In word, which view is best for reading a document without distractions</t>
  </si>
  <si>
    <t>Prient layout</t>
  </si>
  <si>
    <t>Web layout</t>
  </si>
  <si>
    <t>Read mode</t>
  </si>
  <si>
    <t>Outline view</t>
  </si>
  <si>
    <t>Mailing Tab includes</t>
  </si>
  <si>
    <t>Start Mail Merge</t>
  </si>
  <si>
    <t>Preview Results</t>
  </si>
  <si>
    <t>Create Group includes</t>
  </si>
  <si>
    <t>Envelopes</t>
  </si>
  <si>
    <t>Labels</t>
  </si>
  <si>
    <t>Paid to MAA TARINI VARIETY STORE</t>
  </si>
  <si>
    <t>Start Mail Merge group includes</t>
  </si>
  <si>
    <t>Select Recipients</t>
  </si>
  <si>
    <t>Edit Recipient List</t>
  </si>
  <si>
    <t>Mail Merge Data Base list extension is</t>
  </si>
  <si>
    <t>.accdb</t>
  </si>
  <si>
    <t>.mdb</t>
  </si>
  <si>
    <t>Paid to Dharashree Priyadarshini</t>
  </si>
  <si>
    <t>Address block appears which dialoge box?</t>
  </si>
  <si>
    <t>Insert Address block</t>
  </si>
  <si>
    <t>Address block</t>
  </si>
  <si>
    <t>Field Block</t>
  </si>
  <si>
    <t>REFERENCES TAB includes</t>
  </si>
  <si>
    <t>Table of Contents</t>
  </si>
  <si>
    <t>Captions</t>
  </si>
  <si>
    <t>Paid to Sidhant Sahoo</t>
  </si>
  <si>
    <t>Table of Contents Group not includes</t>
  </si>
  <si>
    <t>Add Text</t>
  </si>
  <si>
    <t>Update Table</t>
  </si>
  <si>
    <t>Insert Text</t>
  </si>
  <si>
    <t>Alt+W is used for which Tab?</t>
  </si>
  <si>
    <t>Data</t>
  </si>
  <si>
    <t>Insert</t>
  </si>
  <si>
    <t>View</t>
  </si>
  <si>
    <t>Page Layout</t>
  </si>
  <si>
    <t>How do you create a new document in word using office 365</t>
  </si>
  <si>
    <t>File&gt;&gt;new</t>
  </si>
  <si>
    <t>Home&gt;&gt;new</t>
  </si>
  <si>
    <t>Insert&gt;&gt;new</t>
  </si>
  <si>
    <t>File&gt;&gt;opeb</t>
  </si>
  <si>
    <t>How can you access a previously saved document quickly in word</t>
  </si>
  <si>
    <t>File&gt;&gt;open</t>
  </si>
  <si>
    <t>File&gt;&gt;recent</t>
  </si>
  <si>
    <t>Home&gt;&gt;recent</t>
  </si>
  <si>
    <t>Insert&gt;&gt;open recent</t>
  </si>
  <si>
    <t>Paid to PARIS BAKERY -BAPUJI NAGAR</t>
  </si>
  <si>
    <t>In word, how can you adjust the line spacing of a paragraph</t>
  </si>
  <si>
    <t>Hometab line and paragraph spacing</t>
  </si>
  <si>
    <t>Layout &gt;spacing</t>
  </si>
  <si>
    <t>Design tab &gt; speacing options</t>
  </si>
  <si>
    <t>View tab &gt; Line Spacing</t>
  </si>
  <si>
    <t>Show group includes</t>
  </si>
  <si>
    <t>Ruler</t>
  </si>
  <si>
    <t>Apr-2025</t>
  </si>
  <si>
    <t>Gridlines</t>
  </si>
  <si>
    <t>Navigation Pane</t>
  </si>
  <si>
    <t>Paid to Amit Sahoo</t>
  </si>
  <si>
    <t>Navigation Pane provides _________ views by clicking on their respective tabs at the top of the Navigation Pane.</t>
  </si>
  <si>
    <t>_________ is a series of commands that we can use to automate a repeated task and can be run when we have to perform the task.</t>
  </si>
  <si>
    <t>Macro</t>
  </si>
  <si>
    <t>Consolidation</t>
  </si>
  <si>
    <t>Paid to RANJAN FAST FOOD</t>
  </si>
  <si>
    <t>What if Analyse</t>
  </si>
  <si>
    <t>While Naming a Macro user cannot use</t>
  </si>
  <si>
    <t>Space</t>
  </si>
  <si>
    <t>Paid to SUCHISMITA SAHOO</t>
  </si>
  <si>
    <t>@</t>
  </si>
  <si>
    <t>%</t>
  </si>
  <si>
    <t>SECTION: POWERPOINT</t>
  </si>
  <si>
    <t>PowerPoint</t>
  </si>
  <si>
    <t>Which of the following Tab is not avalibale in Ms-PowerPoint?</t>
  </si>
  <si>
    <t>Home</t>
  </si>
  <si>
    <t>Paid to ******1054</t>
  </si>
  <si>
    <t>Design</t>
  </si>
  <si>
    <t>Which tab is not available on left panel when you open a presentation?</t>
  </si>
  <si>
    <t>Outline</t>
  </si>
  <si>
    <t>Slides</t>
  </si>
  <si>
    <t>Notes</t>
  </si>
  <si>
    <t>All of the above</t>
  </si>
  <si>
    <t>Paid to Omfed 2522</t>
  </si>
  <si>
    <t>PowerPoint presentations are widely used as</t>
  </si>
  <si>
    <t>Note outlines for teachers</t>
  </si>
  <si>
    <t>Project presentations by students</t>
  </si>
  <si>
    <t>Communication of planning</t>
  </si>
  <si>
    <t>In slide layout panel how many layouts are available for text layout by default?</t>
  </si>
  <si>
    <t>4</t>
  </si>
  <si>
    <t>None of the above</t>
  </si>
  <si>
    <t>Paid to PRASANT KU SAHOO</t>
  </si>
  <si>
    <t>What PowerPoint feature will you use to apply motion effects to objects?</t>
  </si>
  <si>
    <t>Slide Transition</t>
  </si>
  <si>
    <t>Slide Design</t>
  </si>
  <si>
    <t>Paid to SAHOO SNACKS CORNER</t>
  </si>
  <si>
    <t>Animation Objects</t>
  </si>
  <si>
    <t>Animation Scheme</t>
  </si>
  <si>
    <t>What feature will you use to apply motion effects in slide transitions?</t>
  </si>
  <si>
    <t>_________ is a template used to create consistent layouts throughout the MS PowerPoint presentation.</t>
  </si>
  <si>
    <t>Paid to HOTEL PRIYA</t>
  </si>
  <si>
    <t>Notes Master</t>
  </si>
  <si>
    <t>Slide Master</t>
  </si>
  <si>
    <t>Handout Master</t>
  </si>
  <si>
    <t>Clip Art</t>
  </si>
  <si>
    <t>In MS-PowerPoint, Default Page Orientation is</t>
  </si>
  <si>
    <t>Portrait</t>
  </si>
  <si>
    <t>Landscape</t>
  </si>
  <si>
    <t>NONE</t>
  </si>
  <si>
    <t>Want your logo in the same position on every slide, automatically, Insert it on the _________ in PowerPoint.</t>
  </si>
  <si>
    <t>Handout master</t>
  </si>
  <si>
    <t>Notes master</t>
  </si>
  <si>
    <t>Slide master</t>
  </si>
  <si>
    <t>Objects on the slide that hold text are called</t>
  </si>
  <si>
    <t>Placeholders</t>
  </si>
  <si>
    <t>Object holders</t>
  </si>
  <si>
    <t>Auto layouts</t>
  </si>
  <si>
    <t>Text holders</t>
  </si>
  <si>
    <t>May-2025</t>
  </si>
  <si>
    <t>Which of the following group is not avalibale in Home tab of Ms-PowerPoint?</t>
  </si>
  <si>
    <t>Clipboard</t>
  </si>
  <si>
    <t>Alignment</t>
  </si>
  <si>
    <t>Font</t>
  </si>
  <si>
    <t>_________ is use to apply formatting from text, shapes and pictures to another selection in Ms-PowerPoint.</t>
  </si>
  <si>
    <t>Format Painter</t>
  </si>
  <si>
    <t>Copy</t>
  </si>
  <si>
    <t>Styles</t>
  </si>
  <si>
    <t>How many groups we have in Insert tab of Ms-PowerPoint?</t>
  </si>
  <si>
    <t>In PowerPoint, you can use _________ to launch any other Presentation, Application or Website from your presentation.</t>
  </si>
  <si>
    <t>Action button</t>
  </si>
  <si>
    <t>Object Linking</t>
  </si>
  <si>
    <t>You can modify the background of a PowerPoint presentation by using _________ Tab.</t>
  </si>
  <si>
    <t>Transitions</t>
  </si>
  <si>
    <t>Slide Show</t>
  </si>
  <si>
    <t>Paid to Amulya Pani</t>
  </si>
  <si>
    <t>What is a motion path in PowerPoint?</t>
  </si>
  <si>
    <t>A type of animation entrance effect</t>
  </si>
  <si>
    <t>A method of advancing slides</t>
  </si>
  <si>
    <t>Paid to Maa Mangala Red Chill</t>
  </si>
  <si>
    <t>A method of moving items on a slide</t>
  </si>
  <si>
    <t>Paid to RAJENDRA KUMAR GOUDA</t>
  </si>
  <si>
    <t>The special effects used to introduce slides in a presentation are called _________ in PowerPoint.</t>
  </si>
  <si>
    <t>Effects</t>
  </si>
  <si>
    <t>Custom animations</t>
  </si>
  <si>
    <t>Present animations</t>
  </si>
  <si>
    <t>Which of the following should you use if you want all the slide in the presentation to have the same "look"?</t>
  </si>
  <si>
    <t>The slide layout option</t>
  </si>
  <si>
    <t>Add a slide option</t>
  </si>
  <si>
    <t>A presentation design template</t>
  </si>
  <si>
    <t>Paid to One Dream saloon</t>
  </si>
  <si>
    <t>In order to edit a chart in PowerPoint, you can</t>
  </si>
  <si>
    <t>Paid to premananda majhi</t>
  </si>
  <si>
    <t>Delete and create new</t>
  </si>
  <si>
    <t>Click and drag the chart object</t>
  </si>
  <si>
    <t>Double click the chart object</t>
  </si>
  <si>
    <t>Click the chart object</t>
  </si>
  <si>
    <t>Which by default theme was appliyed on the slides in Ms-PowerPoint?</t>
  </si>
  <si>
    <t>Apex Theme</t>
  </si>
  <si>
    <t>Paid to VODAFONE IDEA LIMITE</t>
  </si>
  <si>
    <t>Office Theme</t>
  </si>
  <si>
    <t>Angels Theme</t>
  </si>
  <si>
    <t>Slide Orientation option available in which group of Design tab in PowerPoint?</t>
  </si>
  <si>
    <t>Paid to RANIS HOTEL</t>
  </si>
  <si>
    <t>Themes</t>
  </si>
  <si>
    <t>Background</t>
  </si>
  <si>
    <t>Page Setup</t>
  </si>
  <si>
    <t>Paid to ******7119</t>
  </si>
  <si>
    <t>How the information is arranged on the slide is controlled by _________ in PowerPoint?</t>
  </si>
  <si>
    <t>Slide layouts</t>
  </si>
  <si>
    <t>Paid to HOTEL VISHNU BHAVAN</t>
  </si>
  <si>
    <t>The presentation inherits various design elements as well as prewritten content that's stored in the template called _________</t>
  </si>
  <si>
    <t>Slide layout option available in _________ group of Home tab in Ms-PowePoint.</t>
  </si>
  <si>
    <t>Editing</t>
  </si>
  <si>
    <t>Jun-2025</t>
  </si>
  <si>
    <t>The Powerpoint presentation can be saved using the shortcut key.</t>
  </si>
  <si>
    <t>Ctrl+S</t>
  </si>
  <si>
    <t>Shift+F12</t>
  </si>
  <si>
    <t>Both A &amp; B</t>
  </si>
  <si>
    <t>Ctrl+F3</t>
  </si>
  <si>
    <t>Paid to Bharatha Kumar N</t>
  </si>
  <si>
    <t>Which of the following is not a view of Powerpoint?</t>
  </si>
  <si>
    <t>Normal View</t>
  </si>
  <si>
    <t>Slide Sorter View</t>
  </si>
  <si>
    <t>Notes Page View</t>
  </si>
  <si>
    <t>Paid to ******2867</t>
  </si>
  <si>
    <t>Outline View</t>
  </si>
  <si>
    <t>Which of them is not a part of PowerPoint Ribbon?</t>
  </si>
  <si>
    <t>Paid to Dinesh S Shishir</t>
  </si>
  <si>
    <t>Tool</t>
  </si>
  <si>
    <t>Paid to AQUA WORLD MYSORE</t>
  </si>
  <si>
    <t>By default, Save, Undo and Redo appear on the Quick Access Toolbar</t>
  </si>
  <si>
    <t>Paid to MUJEEB RAHMAN M</t>
  </si>
  <si>
    <t>The very bottom of the screen is the _________ which tells about the slide that is currently displayed.</t>
  </si>
  <si>
    <t>Status bar</t>
  </si>
  <si>
    <t>Task Bar</t>
  </si>
  <si>
    <t>Paid to DEEPA RAM</t>
  </si>
  <si>
    <t>What is the Shortcut key of Hyperlink in Ms-PowerPoint?</t>
  </si>
  <si>
    <t>Ctrl+H</t>
  </si>
  <si>
    <t>Ctrl+L</t>
  </si>
  <si>
    <t>Ctrl+K</t>
  </si>
  <si>
    <t>SECTION: EXCEL</t>
  </si>
  <si>
    <t>Paid to ANNAPURNA RESTAURANT</t>
  </si>
  <si>
    <t>Paid to Prem KRS Fish Center</t>
  </si>
  <si>
    <t>Paid to Hotel RRR Mysore</t>
  </si>
  <si>
    <t>Excel</t>
  </si>
  <si>
    <t>Paid to M V Madhusudhan</t>
  </si>
  <si>
    <t>What is the default row height in Excel?</t>
  </si>
  <si>
    <t>Which of the following charts is best for showing trends over time?</t>
  </si>
  <si>
    <t>Jul-2025</t>
  </si>
  <si>
    <t>Pie Chart</t>
  </si>
  <si>
    <t>Line Chart</t>
  </si>
  <si>
    <t>Bar Chart</t>
  </si>
  <si>
    <t>Scatter Plot</t>
  </si>
  <si>
    <t>How do you freeze the top row in Excel?</t>
  </si>
  <si>
    <t>View &gt; Freeze Panes &gt; Freeze Top Row</t>
  </si>
  <si>
    <t>Insert &gt; Freeze Top Row</t>
  </si>
  <si>
    <t>Paid to MOHAN</t>
  </si>
  <si>
    <t>Data &gt; Freeze Top Row</t>
  </si>
  <si>
    <t>File &gt; Freeze Top Row</t>
  </si>
  <si>
    <t>Which of the following is not a valid data type in Excel?</t>
  </si>
  <si>
    <t>Paid to Zam Zam</t>
  </si>
  <si>
    <t>Number</t>
  </si>
  <si>
    <t>Text</t>
  </si>
  <si>
    <t>Picture</t>
  </si>
  <si>
    <t>Paid to RHRHOTELS P LIMITED</t>
  </si>
  <si>
    <t>Paid to Mr SANGARA MOORTHY</t>
  </si>
  <si>
    <t>Which Excel function will display the current date?</t>
  </si>
  <si>
    <t>NOW()</t>
  </si>
  <si>
    <t>DATE()</t>
  </si>
  <si>
    <t>Paid to VINAYAGA MEDICALS</t>
  </si>
  <si>
    <t>TODAY()</t>
  </si>
  <si>
    <t>CURRENT()</t>
  </si>
  <si>
    <t>Which chart type is best for comparing parts of a whole?</t>
  </si>
  <si>
    <t>Paid to CLOCK ROOM</t>
  </si>
  <si>
    <t>Area Chart</t>
  </si>
  <si>
    <t>How do you remove the content of a cell in Excel?</t>
  </si>
  <si>
    <t>Press Delete</t>
  </si>
  <si>
    <t>Press Backspace</t>
  </si>
  <si>
    <t>Right-click and choose Clear Contents</t>
  </si>
  <si>
    <t>What is the purpose of the TEXT function in Excel?</t>
  </si>
  <si>
    <t>Paid to Catering stall</t>
  </si>
  <si>
    <t>To convert a number to text</t>
  </si>
  <si>
    <t>To change the font style</t>
  </si>
  <si>
    <t>To extract text from a string</t>
  </si>
  <si>
    <t>To combine text from multiple cells</t>
  </si>
  <si>
    <t>Which of the following is a valid cell reference in Excel?</t>
  </si>
  <si>
    <t>A1</t>
  </si>
  <si>
    <t>Paid to JAHIR HUSSAIN S</t>
  </si>
  <si>
    <t>1A</t>
  </si>
  <si>
    <t>AA1</t>
  </si>
  <si>
    <t>Both A and C</t>
  </si>
  <si>
    <t>Which function will return the number of characters in a text string?</t>
  </si>
  <si>
    <t>LEN()</t>
  </si>
  <si>
    <t>LENGTH()</t>
  </si>
  <si>
    <t>COUNT()</t>
  </si>
  <si>
    <t>Paid to ******0700</t>
  </si>
  <si>
    <t>CHAR()</t>
  </si>
  <si>
    <t>Aug-2025</t>
  </si>
  <si>
    <t>How do you insert a comment in an Excel cell?</t>
  </si>
  <si>
    <t>Review &gt; New Comment</t>
  </si>
  <si>
    <t>Paid to ANANDHAN P</t>
  </si>
  <si>
    <t>Home &gt; New Comment</t>
  </si>
  <si>
    <t>Insert &gt; New Comment</t>
  </si>
  <si>
    <t>Data &gt; New Comment</t>
  </si>
  <si>
    <t>Paid to Nmr cooldrinks</t>
  </si>
  <si>
    <t>How do you highlight cells that meet a specific condition?</t>
  </si>
  <si>
    <t>Use Conditional Formatting</t>
  </si>
  <si>
    <t>Use Data Validation</t>
  </si>
  <si>
    <t>Use Format Painter</t>
  </si>
  <si>
    <t>Use Sorting</t>
  </si>
  <si>
    <t>Paid to ******7269</t>
  </si>
  <si>
    <t>Which of the following is not a type of Sparkline in Excel?</t>
  </si>
  <si>
    <t>Line</t>
  </si>
  <si>
    <t>Column</t>
  </si>
  <si>
    <t>Win/Loss</t>
  </si>
  <si>
    <t>Bar</t>
  </si>
  <si>
    <t>How do you protect a worksheet in Excel?</t>
  </si>
  <si>
    <t>Review &gt; Protect Sheet</t>
  </si>
  <si>
    <t>Home &gt; Protect Sheet</t>
  </si>
  <si>
    <t>Data &gt; Protect Sheet</t>
  </si>
  <si>
    <t>File &gt; Protect Sheet</t>
  </si>
  <si>
    <t>Paid to ******7166</t>
  </si>
  <si>
    <t>How can you change the width of a column in Excel?</t>
  </si>
  <si>
    <t>Right-click the column header and select "Column Width"</t>
  </si>
  <si>
    <t>Double-click the column boundary on the right side</t>
  </si>
  <si>
    <t>Paid to HOTEL BLUE HILLS</t>
  </si>
  <si>
    <t>Drag the column boundary on the right side of the column header</t>
  </si>
  <si>
    <t>Paid to ******5219</t>
  </si>
  <si>
    <t>What is the purpose of the SUBTOTAL function in Excel?</t>
  </si>
  <si>
    <t>To calculate the total of a range</t>
  </si>
  <si>
    <t>To calculate the total based on a specific function</t>
  </si>
  <si>
    <t>To calculate the sum of a filtered range</t>
  </si>
  <si>
    <t>Both B and C</t>
  </si>
  <si>
    <t>Paid to Ranis Bakery</t>
  </si>
  <si>
    <t>What does the MOD function do in Excel?</t>
  </si>
  <si>
    <t>Returns the remainder after a number is divided by a divisor</t>
  </si>
  <si>
    <t>Modifies the value of a cell</t>
  </si>
  <si>
    <t>Multiplies the value of a cell by a specified factor</t>
  </si>
  <si>
    <t>Returns the modulus of a number</t>
  </si>
  <si>
    <t>Paid to Ranis PAD</t>
  </si>
  <si>
    <t>How do you delete a worksheet in Excel?</t>
  </si>
  <si>
    <t>Right-click the sheet tab and select Delete</t>
  </si>
  <si>
    <t>Home &gt; Delete &gt; Delete Sheet</t>
  </si>
  <si>
    <t>File &gt; Delete &gt; Delete Sheet</t>
  </si>
  <si>
    <t>Data &gt; Delete &gt; Delete Sheet</t>
  </si>
  <si>
    <t>Which of the following is used to combine multiple cells into one?</t>
  </si>
  <si>
    <t>Merge &amp; Center</t>
  </si>
  <si>
    <t>Group</t>
  </si>
  <si>
    <t>Consolidate</t>
  </si>
  <si>
    <t>Combine Cells</t>
  </si>
  <si>
    <t>Paid to Platform 1 Canteen</t>
  </si>
  <si>
    <t>What is a common use case for filtering data in Excel?</t>
  </si>
  <si>
    <t>To find specific records in a large dataset</t>
  </si>
  <si>
    <t>To create new formulas</t>
  </si>
  <si>
    <t>To change cell colors</t>
  </si>
  <si>
    <t>Paid to NANDA KISHOR MISHRA</t>
  </si>
  <si>
    <t>To insert new columns</t>
  </si>
  <si>
    <t>How can you filter a list to show only items that have not been reviewed?</t>
  </si>
  <si>
    <t>Use Text Filters &gt; Does Not Contain</t>
  </si>
  <si>
    <t>Sep-2025</t>
  </si>
  <si>
    <t>Use Number Filters &gt; Less Than</t>
  </si>
  <si>
    <t>Use Date Filters &gt; Before</t>
  </si>
  <si>
    <t>Use Custom Filters &gt; Is Empty</t>
  </si>
  <si>
    <t>Which feature allows you to filter for duplicates or unique values?</t>
  </si>
  <si>
    <t>Remove Duplicates</t>
  </si>
  <si>
    <t>Text Filters &gt; Custom Filter</t>
  </si>
  <si>
    <t>Number Filters &gt; Top 10</t>
  </si>
  <si>
    <t>Filter by Color</t>
  </si>
  <si>
    <t>Paid to Anandaswar sahoo</t>
  </si>
  <si>
    <t>What is the purpose of the "Advanced Filter" feature in Excel?</t>
  </si>
  <si>
    <t>To apply complex criteria and copy filtered data to another location</t>
  </si>
  <si>
    <t>To format cells with specific rules</t>
  </si>
  <si>
    <t>To sort data</t>
  </si>
  <si>
    <t>To create charts</t>
  </si>
  <si>
    <t>Which option would you use to filter for values within a specific date range?</t>
  </si>
  <si>
    <t>Date Filters &gt; Between</t>
  </si>
  <si>
    <t>Number Filters &gt; Greater Than</t>
  </si>
  <si>
    <t>Text Filters &gt; Contains</t>
  </si>
  <si>
    <t>Custom Filters &gt; Date Range</t>
  </si>
  <si>
    <t>Which filter option is used to filter data based on cell color or font color?</t>
  </si>
  <si>
    <t>Custom Filter</t>
  </si>
  <si>
    <t>Text Filter</t>
  </si>
  <si>
    <t>Number Filter</t>
  </si>
  <si>
    <t>Paid to Krushna Chandra Kandhapani</t>
  </si>
  <si>
    <t>The PMT function in Excel is used to:</t>
  </si>
  <si>
    <t>Calculate the present value of an investment</t>
  </si>
  <si>
    <t>Calculate the future value of an investment</t>
  </si>
  <si>
    <t>Compute the periodic payment needed to repay a loan</t>
  </si>
  <si>
    <t>Calculate the total payment over time</t>
  </si>
  <si>
    <t>_________ represent a dynamic, cornerstone, better decision making data management and analysis tool in EXCEL</t>
  </si>
  <si>
    <t>Pivot Tables</t>
  </si>
  <si>
    <t>Data Tables</t>
  </si>
  <si>
    <t>Solver</t>
  </si>
  <si>
    <t>Goal Seek</t>
  </si>
  <si>
    <t>When to use Pivot Tables</t>
  </si>
  <si>
    <t>For Large Data sets</t>
  </si>
  <si>
    <t>Exploratory Analysis</t>
  </si>
  <si>
    <t>Paid to OJEE</t>
  </si>
  <si>
    <t>Reporting</t>
  </si>
  <si>
    <t>All</t>
  </si>
  <si>
    <t>_________ are interactive visual filters.</t>
  </si>
  <si>
    <t>Slicers</t>
  </si>
  <si>
    <t>Flash fill</t>
  </si>
  <si>
    <t>Drill Down</t>
  </si>
  <si>
    <t>When did the concept of Pivot Tables first emerge?</t>
  </si>
  <si>
    <t>Paid to RELIANCE FRESH</t>
  </si>
  <si>
    <t>1960s</t>
  </si>
  <si>
    <t>1970s</t>
  </si>
  <si>
    <t>1980s</t>
  </si>
  <si>
    <t>1990s</t>
  </si>
  <si>
    <t>Paid to TARINI ELECTRICALS</t>
  </si>
  <si>
    <t>What is the purpose of refreshing a Pivot Table?</t>
  </si>
  <si>
    <t>To change its formatting</t>
  </si>
  <si>
    <t>Paid to Priyanka Pattanayak</t>
  </si>
  <si>
    <t>To update it with the latest data</t>
  </si>
  <si>
    <t>To delete it from the worksheet</t>
  </si>
  <si>
    <t>To apply conditional formatting</t>
  </si>
  <si>
    <t>Oct-2025</t>
  </si>
  <si>
    <t>Which aspect of design and formatting plays a crucial role in the effectiveness of charts?</t>
  </si>
  <si>
    <t>Data labels</t>
  </si>
  <si>
    <t>Gridlines and axes</t>
  </si>
  <si>
    <t>Chart colors and themes</t>
  </si>
  <si>
    <t>Legend placement</t>
  </si>
  <si>
    <t>Which field type is used for custom calculations based on existing fields in a Pivot Table?</t>
  </si>
  <si>
    <t>Value Fields</t>
  </si>
  <si>
    <t>Label Fields</t>
  </si>
  <si>
    <t>Calculated Fields</t>
  </si>
  <si>
    <t>Summary Fields</t>
  </si>
  <si>
    <t>Paid to ******2697</t>
  </si>
  <si>
    <t>What is the primary function of the Chart Wizard (Pivot Chart) in Excel?</t>
  </si>
  <si>
    <t>To create charts from Pivot Tables</t>
  </si>
  <si>
    <t>To format text in charts</t>
  </si>
  <si>
    <t>To add data labels to charts</t>
  </si>
  <si>
    <t>To delete existing charts</t>
  </si>
  <si>
    <t>When creating a Pivot Table why is it important for the source data to include column headers?</t>
  </si>
  <si>
    <t>To allow for automatic aggregation</t>
  </si>
  <si>
    <t>To help Excel recognize field names accurately</t>
  </si>
  <si>
    <t>To enable sorting and filtering</t>
  </si>
  <si>
    <t>What is the purpose of applying conditional formatting in a Pivot Table?</t>
  </si>
  <si>
    <t>To change the font size</t>
  </si>
  <si>
    <t>To highlight cells based on specified rules</t>
  </si>
  <si>
    <t>To create a chart from the table</t>
  </si>
  <si>
    <t>To sort the data</t>
  </si>
  <si>
    <t>We can use the feature of Custom Conditional formatting based on a _________</t>
  </si>
  <si>
    <t>Formula</t>
  </si>
  <si>
    <t>Both</t>
  </si>
  <si>
    <t>Paid to VI</t>
  </si>
  <si>
    <t>The data in a PivotTable cannot be changed as it is a summarized view of other data.</t>
  </si>
  <si>
    <t>Paid to NEW SHE STYLE</t>
  </si>
  <si>
    <t>Excel offer upto _________ sort levels.</t>
  </si>
  <si>
    <t>Three</t>
  </si>
  <si>
    <t>Four</t>
  </si>
  <si>
    <t>Thirty-Six</t>
  </si>
  <si>
    <t>Sixty-Four</t>
  </si>
  <si>
    <t>Nov-2025</t>
  </si>
  <si>
    <t>Paid to BISHAL CHANDRA BHAKTA</t>
  </si>
  <si>
    <t>Paid to PVR INOX Limited</t>
  </si>
  <si>
    <t>In Advanced Filter Criteria listed on the same row work with the _________</t>
  </si>
  <si>
    <t>OR logic</t>
  </si>
  <si>
    <t>AND logic</t>
  </si>
  <si>
    <t>XOR logic</t>
  </si>
  <si>
    <t>XAND logic</t>
  </si>
  <si>
    <t>Paid to RAJA REDDY</t>
  </si>
  <si>
    <t>Which type of _________ are used to display trends over time.</t>
  </si>
  <si>
    <t>Line charts</t>
  </si>
  <si>
    <t>Bar charts</t>
  </si>
  <si>
    <t>Column charts</t>
  </si>
  <si>
    <t>Any</t>
  </si>
  <si>
    <t>IRR function represents</t>
  </si>
  <si>
    <t>The internal rate of return for a series of cash flows</t>
  </si>
  <si>
    <t>The interest rate of return for a series of cash flows</t>
  </si>
  <si>
    <t>The internal return of rate for a series of cash flows</t>
  </si>
  <si>
    <t>Any information</t>
  </si>
  <si>
    <t>Goal Seek is a powerful tool for finding the _________ needed to achieve a specific goal</t>
  </si>
  <si>
    <t>input value</t>
  </si>
  <si>
    <t>output value</t>
  </si>
  <si>
    <t>data</t>
  </si>
  <si>
    <t>Data Tables allow you to perform a one-variable or two-variable analysis of a formula</t>
  </si>
  <si>
    <t>By using Goal Seek, we can quickly determine _________ we are required to achieve</t>
  </si>
  <si>
    <t>the source</t>
  </si>
  <si>
    <t>the target</t>
  </si>
  <si>
    <t>Both Source &amp; target</t>
  </si>
  <si>
    <t>Scenario Manager in Excel is particularly useful for</t>
  </si>
  <si>
    <t>Organizing data in a structured manner</t>
  </si>
  <si>
    <t>Creating and comparing different scenarios based on various input values</t>
  </si>
  <si>
    <t>Calculating financial functions</t>
  </si>
  <si>
    <t>Sorting data based on specific criteria</t>
  </si>
  <si>
    <t>Which financial function in Excel calculates the future value of an investment?</t>
  </si>
  <si>
    <t>PV</t>
  </si>
  <si>
    <t>FV</t>
  </si>
  <si>
    <t>NPV</t>
  </si>
  <si>
    <t>IRR</t>
  </si>
  <si>
    <t>What is the purpose of building a financial model in Excel?</t>
  </si>
  <si>
    <t>Paid to MAHARAJA GANGURAM SWEETS and BAKERY</t>
  </si>
  <si>
    <t>To perform basic calculations in a spreadsheet</t>
  </si>
  <si>
    <t>To create data visualizations</t>
  </si>
  <si>
    <t>To evaluate investment opportunities and conduct financial analysis</t>
  </si>
  <si>
    <t>To sort and filter data efficiently</t>
  </si>
  <si>
    <t>Paid to Padhi vegetables</t>
  </si>
  <si>
    <t>Which Excel tool allows you to create and compare different scenarios based on various input values?</t>
  </si>
  <si>
    <t>Scenario Manager</t>
  </si>
  <si>
    <t>What is the primary purpose of Ms-Excel in accounting finance, and data analysis?</t>
  </si>
  <si>
    <t>Create graphics</t>
  </si>
  <si>
    <t>Edit images</t>
  </si>
  <si>
    <t>Analyze numerical and financial data</t>
  </si>
  <si>
    <t>Write documents</t>
  </si>
  <si>
    <t>Paid to Siva Shakti Omfed</t>
  </si>
  <si>
    <t>What is the key advantages of using Absolute Cell References in Excel?</t>
  </si>
  <si>
    <t>They adjust when copied to another location</t>
  </si>
  <si>
    <t>They stay fixed regardless of copying</t>
  </si>
  <si>
    <t>They are not use in calculations</t>
  </si>
  <si>
    <t>They format data automatically</t>
  </si>
  <si>
    <t>Which Excel feature allows you to restrict input to specific criteria in a cell?</t>
  </si>
  <si>
    <t>Data Validation</t>
  </si>
  <si>
    <t>Conditional Formatting</t>
  </si>
  <si>
    <t>Flash Fill</t>
  </si>
  <si>
    <t>AutoFill</t>
  </si>
  <si>
    <t>Dec-2025</t>
  </si>
  <si>
    <t>_________ automates data transformations based on detected patterns.</t>
  </si>
  <si>
    <t>Formatting</t>
  </si>
  <si>
    <t>_________ enables the quick population of cells with patterns.</t>
  </si>
  <si>
    <t>Paste</t>
  </si>
  <si>
    <t>Conditional formatting introduces an intelligent layer to data visualization.</t>
  </si>
  <si>
    <t>_________ enables you to automatically highlight cells that meet criteria, making key insights easily discernible.</t>
  </si>
  <si>
    <t>Which tab contains the feature 'Conditional Formatting'?</t>
  </si>
  <si>
    <t>Data Tab only</t>
  </si>
  <si>
    <t>Paid to BHUBAN MOHAN SAHOO</t>
  </si>
  <si>
    <t>Home Tab only</t>
  </si>
  <si>
    <t>To rotate text for better fit, use the dropdown and choose an angle.</t>
  </si>
  <si>
    <t>Wrap Text</t>
  </si>
  <si>
    <t>Indentation</t>
  </si>
  <si>
    <t>Organization</t>
  </si>
  <si>
    <t>Paid to Saroj Pradhan</t>
  </si>
  <si>
    <t>Maintaining consistency in formatting is essential for professional-looking worksheets.</t>
  </si>
  <si>
    <t>Format as Table</t>
  </si>
  <si>
    <t>Pivot Table</t>
  </si>
  <si>
    <t>Data Table</t>
  </si>
  <si>
    <t>Cell styles and themes</t>
  </si>
  <si>
    <t>Paid to A1 JUICE &amp; PETICE</t>
  </si>
  <si>
    <t>_________ quickly converts a range of cells to a table with its own style.</t>
  </si>
  <si>
    <t>Paid to KANHA DAHIBARA ALUDAM</t>
  </si>
  <si>
    <t>_________ combine and center the contents of the selected cells in a new larger cell.</t>
  </si>
  <si>
    <t>Paste Special</t>
  </si>
  <si>
    <t>Text to Column</t>
  </si>
  <si>
    <t>Which tab is used to access cell alignment and orientation options in excel?</t>
  </si>
  <si>
    <t>Format</t>
  </si>
  <si>
    <t>Paid to JAGANATH BARIK</t>
  </si>
  <si>
    <t>What does filtering allow you to do in a table?</t>
  </si>
  <si>
    <t>Paid to ******5203</t>
  </si>
  <si>
    <t>Display specific data based on chosen criteria</t>
  </si>
  <si>
    <t>Add new rows to the table</t>
  </si>
  <si>
    <t>Change the table style</t>
  </si>
  <si>
    <t>Convert the table back to a range</t>
  </si>
  <si>
    <t>Paid to Swain store</t>
  </si>
  <si>
    <t>How can you merge and center cells in Excel?</t>
  </si>
  <si>
    <t>Format Tab &gt; Merge Cells</t>
  </si>
  <si>
    <t>Home Tab &gt; Merge &amp; Center dropdown</t>
  </si>
  <si>
    <t>Paid to Suraj kirana store</t>
  </si>
  <si>
    <t>Right-click on cells and choose "Merge"</t>
  </si>
  <si>
    <t>Press CTRL + M on the keyboard</t>
  </si>
  <si>
    <t>Default row height &amp; width of a cell?</t>
  </si>
  <si>
    <t>15.43 &amp; 8.15</t>
  </si>
  <si>
    <t>8.15 &amp; 15.43</t>
  </si>
  <si>
    <t>15 &amp; 8.43</t>
  </si>
  <si>
    <t>8 &amp; 15</t>
  </si>
  <si>
    <t>Total rows &amp; columns of a worksheet are _________</t>
  </si>
  <si>
    <t>1000000 &amp; 16000</t>
  </si>
  <si>
    <t>10000 &amp; 16000</t>
  </si>
  <si>
    <t>1040000 &amp; 16300</t>
  </si>
  <si>
    <t>1048576 &amp; 16384</t>
  </si>
  <si>
    <t>Jan-2026</t>
  </si>
  <si>
    <t>Paid to ******1293</t>
  </si>
  <si>
    <t>=$A$1 is the example of _________</t>
  </si>
  <si>
    <t>Paid to SASWAT ARYAN</t>
  </si>
  <si>
    <t>Relative References</t>
  </si>
  <si>
    <t>Absolute References</t>
  </si>
  <si>
    <t>Mixed References</t>
  </si>
  <si>
    <t>Natural Cell Reference</t>
  </si>
  <si>
    <t>What is the purpose of the Total Row in a table?</t>
  </si>
  <si>
    <t>It provides a designated row for aggregations</t>
  </si>
  <si>
    <t>It adds a new row at the bottom of the table</t>
  </si>
  <si>
    <t>It sorts data in ascending or descending order</t>
  </si>
  <si>
    <t>It applies conditional formatting to the table</t>
  </si>
  <si>
    <t>Which formatting technique is used to automatically highlight cells that meet certain criteria?</t>
  </si>
  <si>
    <t>Number Formatting</t>
  </si>
  <si>
    <t>Date and Time Formatting</t>
  </si>
  <si>
    <t>Cell Alignment and Orientation</t>
  </si>
  <si>
    <t>What does the NOW function in Excel provide?</t>
  </si>
  <si>
    <t>The current date</t>
  </si>
  <si>
    <t>The current time</t>
  </si>
  <si>
    <t>The current date and time</t>
  </si>
  <si>
    <t>The end of the month based on a given date</t>
  </si>
  <si>
    <t>Which logical function in Excel checks if all conditions are true?</t>
  </si>
  <si>
    <t>AND</t>
  </si>
  <si>
    <t>OR</t>
  </si>
  <si>
    <t>IF</t>
  </si>
  <si>
    <t>NOT</t>
  </si>
  <si>
    <t>Which error handling function in Excel replaces errors with a specified value?</t>
  </si>
  <si>
    <t>ISERROR</t>
  </si>
  <si>
    <t>IFERROR</t>
  </si>
  <si>
    <t>ISIFERROR</t>
  </si>
  <si>
    <t>LOOKUPERROR</t>
  </si>
  <si>
    <t>Which function helps to search for a value in the leftmost column of a table and return a corresponding value from a specified column</t>
  </si>
  <si>
    <t>HLOOKUP</t>
  </si>
  <si>
    <t>VLOOKUP</t>
  </si>
  <si>
    <t>LOOKUP</t>
  </si>
  <si>
    <t>GETLOOKUP</t>
  </si>
  <si>
    <t>Which Excel function is used for calculating periodic loan payments?</t>
  </si>
  <si>
    <t>SUM</t>
  </si>
  <si>
    <t>PMT</t>
  </si>
  <si>
    <t>Performing straightforward calculation i.e. =A1+B1 is an _________</t>
  </si>
  <si>
    <t>Arithmetic calculation</t>
  </si>
  <si>
    <t>Math &amp; Trig Function</t>
  </si>
  <si>
    <t>Sum Function</t>
  </si>
  <si>
    <t>Relative Cell Reference</t>
  </si>
  <si>
    <t>Which of the following steps involved in created a named range?</t>
  </si>
  <si>
    <t>Select cell range&gt; Insert tab&gt; Name range&gt; Enter name</t>
  </si>
  <si>
    <t>Select cell range&gt; Insert Tab &gt; Formula&gt; Create table name</t>
  </si>
  <si>
    <t>Select cell range&gt; Formula tab&gt; Create from selection</t>
  </si>
  <si>
    <t>Select cell range&gt; Home &gt; Format as table &gt; Type name</t>
  </si>
  <si>
    <t>Feb-2026</t>
  </si>
  <si>
    <t>How do you adjust column widths and row heights in Excel?</t>
  </si>
  <si>
    <t>Use the "Format" tab in the Home tab</t>
  </si>
  <si>
    <t>Drag column borders or hover over row boundaries</t>
  </si>
  <si>
    <t>Apply cell styles from the Cell Styles gallery</t>
  </si>
  <si>
    <t>Use the "Merge &amp; Center" option</t>
  </si>
  <si>
    <t>Suppose you have separate sheets for each quarter, and you want to find the total revenue for the year. You can select a cell on a summary sheet and use a _________ to add the revenue from each quarter's sheet.</t>
  </si>
  <si>
    <t>Concatenate function</t>
  </si>
  <si>
    <t>Consolidate function</t>
  </si>
  <si>
    <t>Copy &amp; Paste</t>
  </si>
  <si>
    <t>SUM function</t>
  </si>
  <si>
    <t>Paid to SAMJIT SAHOO</t>
  </si>
  <si>
    <t>Excel provides a powerful built-in tool called _________ for combining data from multiple sheets.</t>
  </si>
  <si>
    <t>Concatenate</t>
  </si>
  <si>
    <t>Choose the correct function argument to add up values from A1 to A10.</t>
  </si>
  <si>
    <t>=SUM[A1:A10]</t>
  </si>
  <si>
    <t>=SUM(A1:A10)</t>
  </si>
  <si>
    <t>=SUM{A1:A10}</t>
  </si>
  <si>
    <t>=A1:A10</t>
  </si>
  <si>
    <t>What are the functions help to find the smallest and largest value from a selected cell range?</t>
  </si>
  <si>
    <t>MIN &amp; MAX</t>
  </si>
  <si>
    <t>MINIMUM &amp; MAXIMUM</t>
  </si>
  <si>
    <t>Smallest &amp; Largest</t>
  </si>
  <si>
    <t>Lowest &amp; Highest</t>
  </si>
  <si>
    <t>Which category of function helps to make decisions based on specific conditions.</t>
  </si>
  <si>
    <t>Lookup Function</t>
  </si>
  <si>
    <t>Decision Function</t>
  </si>
  <si>
    <t>Text Function</t>
  </si>
  <si>
    <t>Logical Function</t>
  </si>
  <si>
    <t>Paid to Omm Arogya Kendra</t>
  </si>
  <si>
    <t>AND and OR functions use for?</t>
  </si>
  <si>
    <t>combine 2 conditions only</t>
  </si>
  <si>
    <t>Paid to Sankar tiffin stall</t>
  </si>
  <si>
    <t>combine multiple conditions</t>
  </si>
  <si>
    <t>Only A</t>
  </si>
  <si>
    <t>Paid to Airtel Payments Bank Limited</t>
  </si>
  <si>
    <t>Which syntax is correct to express - If the value in cell B2 is greater than 100, the formula returns "Above Target"; otherwise, it returns "Below Target."</t>
  </si>
  <si>
    <t>=IF(B2&gt;100, "Above Target", "Below Target")</t>
  </si>
  <si>
    <t>=IF(B2&lt;100, "Above Target", "Below Target")</t>
  </si>
  <si>
    <t>=IF(B2&gt;=100, "Above Target", "Below Target")</t>
  </si>
  <si>
    <t>=IF(B2&gt;100, "Below Target", "Above Target")</t>
  </si>
  <si>
    <t>The _________ function extracts characters from the beginning of a text.</t>
  </si>
  <si>
    <t>=LEN()</t>
  </si>
  <si>
    <t>=RIGHT()</t>
  </si>
  <si>
    <t>Paid to ******2010</t>
  </si>
  <si>
    <t>=LEFT()</t>
  </si>
  <si>
    <t>=TEXT()</t>
  </si>
  <si>
    <t>_________ calculates the end of the month based on a given date.</t>
  </si>
  <si>
    <t>EOMONTH Function</t>
  </si>
  <si>
    <t>EMONTH Function</t>
  </si>
  <si>
    <t>MONTH Function</t>
  </si>
  <si>
    <t>ENDMONTH Function</t>
  </si>
  <si>
    <t>Paid to Abhijit Paramaguru</t>
  </si>
  <si>
    <t>The formula calculates the number of days between the dates in cells B2 and C2.</t>
  </si>
  <si>
    <t>=DATE(B2,C2,"D")</t>
  </si>
  <si>
    <t>=DATEDIF(B2, C2, "D")</t>
  </si>
  <si>
    <t>=DIFF(B2,C2,"D")</t>
  </si>
  <si>
    <t>=DIFFDATE(B2,C2,"D")</t>
  </si>
  <si>
    <t>_________ calculates the net present value of cash flows.</t>
  </si>
  <si>
    <t>PV Function</t>
  </si>
  <si>
    <t>FV Function</t>
  </si>
  <si>
    <t>Paid to Tanmay Sahoo</t>
  </si>
  <si>
    <t>NPV function</t>
  </si>
  <si>
    <t>PMT Function</t>
  </si>
  <si>
    <t>Mar-2026</t>
  </si>
  <si>
    <t>Syntax of VLOOKUP() Function?</t>
  </si>
  <si>
    <t>=VLOOKUP (lookup_value, table_array, [col_index_num], range_lookup)</t>
  </si>
  <si>
    <t>=VLOOKUP (lookup_value, [table_array], col_index_num, range_lookup)</t>
  </si>
  <si>
    <t>=VLOOKUP ([lookup_value], table_array, col_index_num, range_lookup)</t>
  </si>
  <si>
    <t>=VLOOKUP (lookup_value, table_array, col_index_num, [range_lookup])</t>
  </si>
  <si>
    <t>Paid to Vodafone Idea Ltd</t>
  </si>
  <si>
    <t>Choose odd one out.</t>
  </si>
  <si>
    <t>=IF()</t>
  </si>
  <si>
    <t>=AND()</t>
  </si>
  <si>
    <t>=OR()</t>
  </si>
  <si>
    <t>When consolidating data in Excel, what does the "table_array" refer to?</t>
  </si>
  <si>
    <t>The range of cells containing the data to be consolidated</t>
  </si>
  <si>
    <t>The function used for consolidation</t>
  </si>
  <si>
    <t>The target cell where the total will appear</t>
  </si>
  <si>
    <t>The range of cells used for formatting</t>
  </si>
  <si>
    <t>What does the LEN function in Excel calculate?</t>
  </si>
  <si>
    <t>The average value of a range</t>
  </si>
  <si>
    <t>The maximum value in a range</t>
  </si>
  <si>
    <t>The length of a text string</t>
  </si>
  <si>
    <t>The total sum of a range</t>
  </si>
  <si>
    <t>SUMIF function in Excel Helps</t>
  </si>
  <si>
    <t>to count the number of cells that meet a specific condition</t>
  </si>
  <si>
    <t>to sum values based on a single specified condition</t>
  </si>
  <si>
    <t>to count cells based on multiple criteria</t>
  </si>
  <si>
    <t>to sum values based on multiple criteria</t>
  </si>
  <si>
    <t>Paid to MANU GUPCHUP CENTER</t>
  </si>
  <si>
    <t>Which function counts the number of cells that meet a specific condition?</t>
  </si>
  <si>
    <t>=COUNT()</t>
  </si>
  <si>
    <t>=COUNTA()</t>
  </si>
  <si>
    <t>=COUNTIF()</t>
  </si>
  <si>
    <t>=COUNTIS()</t>
  </si>
  <si>
    <t>Which function is used to count the number of cells that meet one or more specified condition within a range?</t>
  </si>
  <si>
    <t>=COUNTIFS()</t>
  </si>
  <si>
    <t>Paid to Arya world - 3</t>
  </si>
  <si>
    <t>=SUMIF()</t>
  </si>
  <si>
    <t>=SUMIFS()</t>
  </si>
  <si>
    <t>The _________ function calculates total revenue for a specific product?</t>
  </si>
  <si>
    <t>=SUM()</t>
  </si>
  <si>
    <t>Suppose you have a sales dataset with product names (in Column A) and corresponding revenue (in Column B). You are requested to find the total revenue for "Product A". Which function argument you would like to use?</t>
  </si>
  <si>
    <t>=SUMIF(B1:B100, "Product A", A1:A100)</t>
  </si>
  <si>
    <t>=SUMIF(A1:A100, "Product A", B1:B100)</t>
  </si>
  <si>
    <t>=SUMIF(A1:A100, A1, B1:B100)</t>
  </si>
  <si>
    <t>=SUMIF(B1:B100, B1, A1:A100)</t>
  </si>
  <si>
    <t>Paid to Baba Ashutosh Pushpalaya</t>
  </si>
  <si>
    <t>What is the purpose of using SUMIFS() function?</t>
  </si>
  <si>
    <t>allows you to sum values based on multiple criteria.</t>
  </si>
  <si>
    <t>allows you to sum values based on a criteria.</t>
  </si>
  <si>
    <t>allows you to count values based on multiple criteria.</t>
  </si>
  <si>
    <t>allows you to count values based on a criteria.</t>
  </si>
  <si>
    <t>When using the COUNTIFS function, how many criteria can be applied simultaneously?</t>
  </si>
  <si>
    <t>Only one</t>
  </si>
  <si>
    <t>Two</t>
  </si>
  <si>
    <t>Unlimited</t>
  </si>
  <si>
    <t>What happens if the [num_chars] argument in the RIGHT() function is greater than the length of the text string?</t>
  </si>
  <si>
    <t>will return last character</t>
  </si>
  <si>
    <t>will return first character</t>
  </si>
  <si>
    <t>will return the entire text string</t>
  </si>
  <si>
    <t>will return blank</t>
  </si>
  <si>
    <t>Which function removes the leading and trailing spaces from a text String?</t>
  </si>
  <si>
    <t>REMOVE()</t>
  </si>
  <si>
    <t>TRIM()</t>
  </si>
  <si>
    <t>REPLACE()</t>
  </si>
  <si>
    <t>FIND()</t>
  </si>
  <si>
    <t>Which function helps you find the position of a specific character or substring within a text string?</t>
  </si>
  <si>
    <t>SEARCH</t>
  </si>
  <si>
    <t>POSITION()</t>
  </si>
  <si>
    <t>Paid to Dava India Generic Pharma</t>
  </si>
  <si>
    <t>Syntax of SUBSTITUTE() Function.</t>
  </si>
  <si>
    <t>=SUBSTITUTE(value, old_value, new_value, [instance_value])</t>
  </si>
  <si>
    <t>=SUBSTITUTE(text, new_text, old_text, [instance_num])</t>
  </si>
  <si>
    <t>=SUBSTITUTE(text, find_text, replace_text, [instance_num])</t>
  </si>
  <si>
    <t>Paid to Maa Kali Bag Store</t>
  </si>
  <si>
    <t>=SUBSTITUTE(text, old_text, new_text, [instance_num])</t>
  </si>
  <si>
    <t>_________ allows you to set rules for the type and range of data that can be entered into cells.</t>
  </si>
  <si>
    <t>Validation rule</t>
  </si>
  <si>
    <t>Cell protection</t>
  </si>
  <si>
    <t>Conditional formatting</t>
  </si>
  <si>
    <t>Which data validation option would you use to create a drop-down list in a cell?</t>
  </si>
  <si>
    <t>Text length</t>
  </si>
  <si>
    <t>Whole number</t>
  </si>
  <si>
    <t>List</t>
  </si>
  <si>
    <t>What does the Ignore blank checkbox do in the Data Validation settings?</t>
  </si>
  <si>
    <t>Allows cells to contain any text</t>
  </si>
  <si>
    <t>Ignores validation rules for blank cells</t>
  </si>
  <si>
    <t>Allows formatting of blank cells</t>
  </si>
  <si>
    <t>Requires non-blank cells to meet validation criteria</t>
  </si>
  <si>
    <t>Paid to Bank Account XXXXXXXXXXX6848</t>
  </si>
  <si>
    <t>How can you prevent duplicate entries in a column using data validation?</t>
  </si>
  <si>
    <t>Use the List option with a range that does not include duplicates</t>
  </si>
  <si>
    <t>Use the Whole number option with a condition of unique</t>
  </si>
  <si>
    <t>Use the Custom option with the formula =COUNTIF(A:A, A1)&lt;=1</t>
  </si>
  <si>
    <t>Use the Text length option with a maximum length set to 1</t>
  </si>
  <si>
    <t>How can you provide a message to users when they select a cell with data validation applied?</t>
  </si>
  <si>
    <t>Use the Input Message tab in the Data Validation settings</t>
  </si>
  <si>
    <t>Paid to OM Maa Omfed</t>
  </si>
  <si>
    <t>Apply conditional formatting to the cell</t>
  </si>
  <si>
    <t>Create a comment in the cell</t>
  </si>
  <si>
    <t>Use the Error Alert tab in the Data Validation settings</t>
  </si>
  <si>
    <t>When using Goal Seek in Excel, which value is typically set as the "Set Cell"?</t>
  </si>
  <si>
    <t>The input value you want to find</t>
  </si>
  <si>
    <t>The target value you want to achieve</t>
  </si>
  <si>
    <t>The output value you want to calculate</t>
  </si>
  <si>
    <t>The formula cell</t>
  </si>
  <si>
    <t>As aid in decision-making for investment opportunities, we can use Excel's _________</t>
  </si>
  <si>
    <t>What-If Analysis tools</t>
  </si>
  <si>
    <t>financial functions</t>
  </si>
  <si>
    <t>tools and financial functions</t>
  </si>
  <si>
    <t>Which tool in EXCEL enables a meticulous analysis of how variations in two input variables can influence financial outcomes.</t>
  </si>
  <si>
    <t>Paid to Radha madhaba puja vandar</t>
  </si>
  <si>
    <t>Tool(s) allows/allow professionals to pinpoint specific inputs required to achieve predefined financial goals and create and compare scenarios based on diverse input values, respectively</t>
  </si>
  <si>
    <t>Goal Seek and Scenario Manager</t>
  </si>
  <si>
    <t>one or two variable(s) Data Table</t>
  </si>
  <si>
    <t>What-If Analysis tools help in determining _________</t>
  </si>
  <si>
    <t>optimal investment strategies</t>
  </si>
  <si>
    <t>evaluating loan options</t>
  </si>
  <si>
    <t>projecting cash flows</t>
  </si>
  <si>
    <t>Paid to Rajdhani DRY Cleaner</t>
  </si>
  <si>
    <t>What is macro in Excel?</t>
  </si>
  <si>
    <t>A type of mathematical formula</t>
  </si>
  <si>
    <t>Sets of instructions to automate tasks</t>
  </si>
  <si>
    <t>A type of chart in Excel</t>
  </si>
  <si>
    <t>A shortcut key for navigation</t>
  </si>
  <si>
    <t>Macros can be stored in locations _________</t>
  </si>
  <si>
    <t>The workbook we are using</t>
  </si>
  <si>
    <t>Our Personal Macro Workbook (which by default is hidden from view)</t>
  </si>
  <si>
    <t>either of two locations</t>
  </si>
  <si>
    <t>Paid to SANJAYA KUMAR NAYAK</t>
  </si>
  <si>
    <t>Paid to Shree Raghunath Ayurved Ausadhalaya &amp; clinic</t>
  </si>
  <si>
    <t>A _________ file extension represents macro enabled workbooks.</t>
  </si>
  <si>
    <t>.xlsx</t>
  </si>
  <si>
    <t>Paid to CHITTA RANJAN DAS</t>
  </si>
  <si>
    <t>.xlsm</t>
  </si>
  <si>
    <t>.xls</t>
  </si>
  <si>
    <t>Which tab do you need to enable in Excel to access Developer tools for macros?</t>
  </si>
  <si>
    <t>File Tab</t>
  </si>
  <si>
    <t>Data Tab</t>
  </si>
  <si>
    <t>Review Tab</t>
  </si>
  <si>
    <t>Developer Tab</t>
  </si>
  <si>
    <t>What is the first step in recording a macro?</t>
  </si>
  <si>
    <t>Assigning a shortcut key</t>
  </si>
  <si>
    <t>Naming the macro</t>
  </si>
  <si>
    <t>Clicking on "Record Macro"</t>
  </si>
  <si>
    <t>Enabling the Developer tab</t>
  </si>
  <si>
    <t>Which type of macro is more suitable for complex and customized automation?</t>
  </si>
  <si>
    <t>Recorded Macros</t>
  </si>
  <si>
    <t>VBA Macros</t>
  </si>
  <si>
    <t>Complex Macros</t>
  </si>
  <si>
    <t>Basic Macros</t>
  </si>
  <si>
    <t>What is one of the key advantages of using VBA Macros over Recorded Macros?</t>
  </si>
  <si>
    <t>VBA Macros can perform more complex and customized automation</t>
  </si>
  <si>
    <t>Paid to Sitish Kumar Nayak</t>
  </si>
  <si>
    <t>VBA Macros are faster to execute</t>
  </si>
  <si>
    <t>VBA Macros are more stable</t>
  </si>
  <si>
    <t>What is one of the benefits of using macros in financial modeling?</t>
  </si>
  <si>
    <t>They make the spreadsheet colorful and visually appealing</t>
  </si>
  <si>
    <t>They reduce human error and save time</t>
  </si>
  <si>
    <t>They can be used for creating pivot tables</t>
  </si>
  <si>
    <t>They are only useful for basic calculations</t>
  </si>
  <si>
    <t>What is the primary objective of a Recorded Macro?</t>
  </si>
  <si>
    <t>To create visualizations</t>
  </si>
  <si>
    <t>To perform complex calculations</t>
  </si>
  <si>
    <t>To generate random data</t>
  </si>
  <si>
    <t>To automate a series of actions in Excel</t>
  </si>
  <si>
    <t>Which programming language is associated with creating complex macros in Excel?</t>
  </si>
  <si>
    <t>VBA</t>
  </si>
  <si>
    <t>Python</t>
  </si>
  <si>
    <t>C++</t>
  </si>
  <si>
    <t>Java</t>
  </si>
  <si>
    <t>What is the purpose of running a macro in Excel?</t>
  </si>
  <si>
    <t>To execute the series of recorded instructions</t>
  </si>
  <si>
    <t>To edit the recorded actions</t>
  </si>
  <si>
    <t>To save the macro to a file</t>
  </si>
  <si>
    <t>To delete the macro from the workbook</t>
  </si>
  <si>
    <t>When recording a macro, what should you do if you want to assign a shortcut key?</t>
  </si>
  <si>
    <t>It is not possible to assign a shortcut key to a recorded macro</t>
  </si>
  <si>
    <t>Select the option before starting the recording process</t>
  </si>
  <si>
    <t>We can only assign shortcut keys to VBA macros</t>
  </si>
  <si>
    <t>Assign the shortcut key after stopping the recording process</t>
  </si>
  <si>
    <t>How can we enable the Developer tab in Excel?</t>
  </si>
  <si>
    <t>It is always enabled by default</t>
  </si>
  <si>
    <t>By clicking on the "File" tab and selecting Options</t>
  </si>
  <si>
    <t>By pressing the F12 key</t>
  </si>
  <si>
    <t>By right-clicking on a cell and selecting "Developer Options"</t>
  </si>
  <si>
    <t>What is the significance of macros for Chartered Accountants?</t>
  </si>
  <si>
    <t>They enhance creativity in financial reports</t>
  </si>
  <si>
    <t>They automate repetitive tasks, ensuring accuracy and efficiency</t>
  </si>
  <si>
    <t>They can replace the need for financial analysis software</t>
  </si>
  <si>
    <t>Types of Macros are _________</t>
  </si>
  <si>
    <t>A macro records our mouse clicks and keystrokes while we work and play them back later.</t>
  </si>
  <si>
    <t>In Macros Cell Referencing Mode(s) is/are _________</t>
  </si>
  <si>
    <t>Absolute reference mode</t>
  </si>
  <si>
    <t>Relative reference mode</t>
  </si>
  <si>
    <t>Both Absolute reference mode &amp; Relative reference mode</t>
  </si>
  <si>
    <t>In the formula =LEFT(A1, 5), what does "5" represent?</t>
  </si>
  <si>
    <t>The position to start searching</t>
  </si>
  <si>
    <t>The length of the text string</t>
  </si>
  <si>
    <t>The position from which to start extraction</t>
  </si>
  <si>
    <t>The number of characters to extract</t>
  </si>
  <si>
    <t>What does the LEN function return in excel if the text string is empty?</t>
  </si>
  <si>
    <t>_________ is a versatile spreadsheet application that allows you to organize, analyze, and manipulate numerical and financial data.</t>
  </si>
  <si>
    <t>Microsoft Word</t>
  </si>
  <si>
    <t>Microsoft Excel</t>
  </si>
  <si>
    <t>Microsoft PowerPoint</t>
  </si>
  <si>
    <t>Microsoft Access</t>
  </si>
  <si>
    <t>_________ allows financial analysts to summarize and analyze large datasets with ease.</t>
  </si>
  <si>
    <t>PivotTable</t>
  </si>
  <si>
    <t>Paid to BHAJAMANA BEHERA</t>
  </si>
  <si>
    <t>Format as table</t>
  </si>
  <si>
    <t>Excel is used to create financial statements, such as income statements and _________, by organizing transaction data and applying formulas for accurate calculations.</t>
  </si>
  <si>
    <t>Sheets</t>
  </si>
  <si>
    <t>worksheets</t>
  </si>
  <si>
    <t>balance sheets</t>
  </si>
  <si>
    <t>Which version of excel allows users to access it across various devices and platforms.</t>
  </si>
  <si>
    <t>Excel Online</t>
  </si>
  <si>
    <t>Excel for macOS</t>
  </si>
  <si>
    <t>Excel for Windows</t>
  </si>
  <si>
    <t>Microsoft 365 (formerly Office 365)</t>
  </si>
  <si>
    <t>Default workbook name is _________</t>
  </si>
  <si>
    <t>Excel1</t>
  </si>
  <si>
    <t>Book1</t>
  </si>
  <si>
    <t>Sheet1</t>
  </si>
  <si>
    <t>File1</t>
  </si>
  <si>
    <t>_________ is a collection of one or more worksheets, equivalent to a file that you can save and open in Excel.</t>
  </si>
  <si>
    <t>workbook</t>
  </si>
  <si>
    <t>worksheet</t>
  </si>
  <si>
    <t>cell</t>
  </si>
  <si>
    <t>File</t>
  </si>
  <si>
    <t>The intersection points of rows and columns which serve as the building blocks of an Excel worksheet, containing data, text, formulas, or functions are called as _________</t>
  </si>
  <si>
    <t>rows &amp; Columns</t>
  </si>
  <si>
    <t>Suppose you've entered "January" in cell A1 to represent the first month. Now, you can quickly extend the series to cover the entire year, saving you the time and effort of manually typing out each month. What you will do?</t>
  </si>
  <si>
    <t>Fill &gt; Series</t>
  </si>
  <si>
    <t>Vlookup()</t>
  </si>
  <si>
    <t>Paid to Laxmi Grosari Store</t>
  </si>
  <si>
    <t>What is the short cut to activate Flash Fill?</t>
  </si>
  <si>
    <t>CTRL+C</t>
  </si>
  <si>
    <t>CTRL+V</t>
  </si>
  <si>
    <t>CTRL+E</t>
  </si>
  <si>
    <t>CTRL+F</t>
  </si>
  <si>
    <t>Which is/are Number format of excel?</t>
  </si>
  <si>
    <t>General</t>
  </si>
  <si>
    <t>Currency</t>
  </si>
  <si>
    <t>An absolute reference denotes by which symbol?</t>
  </si>
  <si>
    <t>$</t>
  </si>
  <si>
    <t>#</t>
  </si>
  <si>
    <t>!</t>
  </si>
  <si>
    <t>Which of the following is a valid name for a named range in Excel?</t>
  </si>
  <si>
    <t>2024_Sales</t>
  </si>
  <si>
    <t>2024-Sales</t>
  </si>
  <si>
    <t>2024 Sales</t>
  </si>
  <si>
    <t>2024*Sales</t>
  </si>
  <si>
    <t>What does VLOOKUP Stands for</t>
  </si>
  <si>
    <t>Vertical Lookup</t>
  </si>
  <si>
    <t>Value Lookup</t>
  </si>
  <si>
    <t>Index Function in Excel allows to fetch a specific Value from _________</t>
  </si>
  <si>
    <t>a Table</t>
  </si>
  <si>
    <t>a Range of Data</t>
  </si>
  <si>
    <t>an Array</t>
  </si>
  <si>
    <t>Why is the combination of INDEX and MATCH functions considered powerful for lookup operations</t>
  </si>
  <si>
    <t>For precise retrieval of specific data points within a dataset</t>
  </si>
  <si>
    <t>They provide flexible lookup capabilities</t>
  </si>
  <si>
    <t>To dynamically lookup and retrieve data based on condition</t>
  </si>
  <si>
    <t>When using VLOOKUP/HLOOKUP, what does the [range_lookup] set to true mean argument</t>
  </si>
  <si>
    <t>An exact match is required</t>
  </si>
  <si>
    <t>An approximate match is required</t>
  </si>
  <si>
    <t>the number of matches</t>
  </si>
  <si>
    <t>It specifies the column number/row number</t>
  </si>
  <si>
    <t>Paid to Prasanna Fruit Shop</t>
  </si>
  <si>
    <t>What Role does the MATCH function play in EXCEL</t>
  </si>
  <si>
    <t>It returns the relative position of the lookup value in the range.</t>
  </si>
  <si>
    <t>It returns the value being looked up.</t>
  </si>
  <si>
    <t>It returns the result of a mathematical operation</t>
  </si>
  <si>
    <t>It returns the average of a range of values.</t>
  </si>
  <si>
    <t>VLOOKUP function is useful _________</t>
  </si>
  <si>
    <t>Paid to Mr SUJAN DAS</t>
  </si>
  <si>
    <t>When data is organised in Vertical Column</t>
  </si>
  <si>
    <t>When data is organised in Horizontal Rows</t>
  </si>
  <si>
    <t>When data is unorganised</t>
  </si>
  <si>
    <t>Which function allows you to fetch a specific value from a table or range of data in Excel?</t>
  </si>
  <si>
    <t>Paid to Siyaram Homeo</t>
  </si>
  <si>
    <t>INDEX</t>
  </si>
  <si>
    <t>MATCH</t>
  </si>
  <si>
    <t>In the INDEX and MATCH combination, what does INDEX return if the [column_num] argument is omitted?</t>
  </si>
  <si>
    <t>The entire column.</t>
  </si>
  <si>
    <t>The entire row.</t>
  </si>
  <si>
    <t>Paid to Manash Variety Store</t>
  </si>
  <si>
    <t>An error.</t>
  </si>
  <si>
    <t>A blank cell.</t>
  </si>
  <si>
    <t>What does the [match_type] argument control in the MATCH function?</t>
  </si>
  <si>
    <t>The size of the range.</t>
  </si>
  <si>
    <t>The type of data to search for.</t>
  </si>
  <si>
    <t>The type of match to be performed.</t>
  </si>
  <si>
    <t>The number of matches.</t>
  </si>
  <si>
    <t>Which lookup function should we use when dealing with data organized in horizontal rows</t>
  </si>
  <si>
    <t>In the formula =INDEX(A1:D100, MATCH("Product B", A1:A100, 0), MATCH("Q2", A1:D1, 0)), what does "Product B" represent?</t>
  </si>
  <si>
    <t>The lookup value in the vertical column.</t>
  </si>
  <si>
    <t>The lookup value in the horizontal row.</t>
  </si>
  <si>
    <t>The range of cells to search.</t>
  </si>
  <si>
    <t>Paid to Alam brothers</t>
  </si>
  <si>
    <t>The [column_num] argument.</t>
  </si>
  <si>
    <t>Which function helps us to find the position of a specific character or substring within a text string.</t>
  </si>
  <si>
    <t>Paid to Style Shoes</t>
  </si>
  <si>
    <t>Paid to ******5621</t>
  </si>
  <si>
    <t>FIND</t>
  </si>
  <si>
    <t>SUBSTITUTE</t>
  </si>
  <si>
    <t>Paid to RAM KRUSHNA SUBUDHI</t>
  </si>
  <si>
    <t>REPLACE</t>
  </si>
  <si>
    <t>Paid to Basanta Panda</t>
  </si>
  <si>
    <t>Lookup functions are _________ of efficient financial analysis</t>
  </si>
  <si>
    <t>backbone</t>
  </si>
  <si>
    <t>skills</t>
  </si>
  <si>
    <t>improved accuracy</t>
  </si>
  <si>
    <t>speed</t>
  </si>
  <si>
    <t>Paid to P207 BARAMUNDA BBSR</t>
  </si>
  <si>
    <t>Paid to GAYATRI SAMANTA</t>
  </si>
  <si>
    <t>Paid to Foodio</t>
  </si>
  <si>
    <t>INDEX provides a flexible approach to fetch values based on specified criteria, while _________ focuses on locating specific values within a dataset.</t>
  </si>
  <si>
    <t>INDEX, MATCH</t>
  </si>
  <si>
    <t>Paid to Pramod Store</t>
  </si>
  <si>
    <t>MATCH, INDEX</t>
  </si>
  <si>
    <t>INDIRECT, MATCH</t>
  </si>
  <si>
    <t>MATCH, XLOOKUP</t>
  </si>
  <si>
    <t>Suppose we have a Table with Product Name in Column A and their corresponding prices in Column B, to find price of Product A(a specific product), we use _________</t>
  </si>
  <si>
    <t>=VLOOKUP("Product A",A1:B100,2, False)</t>
  </si>
  <si>
    <t>=VLOOKUP("Product A", A1:B100,2, True)</t>
  </si>
  <si>
    <t>Paid to ******3334</t>
  </si>
  <si>
    <t>What is the purpose of sorting</t>
  </si>
  <si>
    <t>To arrange data alphabetically</t>
  </si>
  <si>
    <t>To filter out unwanted information</t>
  </si>
  <si>
    <t>Paid to Jana ausadhi kenda</t>
  </si>
  <si>
    <t>To organize data in a specific order</t>
  </si>
  <si>
    <t>To perform complex calculation</t>
  </si>
  <si>
    <t>Which option is crucial for maintaining data integrity and accuracy in Excel?</t>
  </si>
  <si>
    <t>Sorting data</t>
  </si>
  <si>
    <t>Protecting worksheets</t>
  </si>
  <si>
    <t>Filtering data</t>
  </si>
  <si>
    <t>Password protecting workbooks</t>
  </si>
  <si>
    <t>What is the purpose of protecting a worksheet in Excel?</t>
  </si>
  <si>
    <t>Highlight specific cells</t>
  </si>
  <si>
    <t>View specific subsets of data based on defined criteria</t>
  </si>
  <si>
    <t>To restrict unauthorized access and modifications</t>
  </si>
  <si>
    <t>To change the formatting of the worksheet</t>
  </si>
  <si>
    <t>When applying filters in Excel, what does it allow you to do?</t>
  </si>
  <si>
    <t>Delete rows and columns</t>
  </si>
  <si>
    <t>Change font colors</t>
  </si>
  <si>
    <t>When protecting a worksheet, what can you set to enhance security?</t>
  </si>
  <si>
    <t>A username</t>
  </si>
  <si>
    <t>A password</t>
  </si>
  <si>
    <t>Paid to SHREE PHARMA</t>
  </si>
  <si>
    <t>A color code</t>
  </si>
  <si>
    <t>A font style</t>
  </si>
  <si>
    <t>In Excel, what is the significance of password protecting a workbook?</t>
  </si>
  <si>
    <t>It allows you to change the workbook's formatting.</t>
  </si>
  <si>
    <t>It prevents anyone from viewing the workbook.</t>
  </si>
  <si>
    <t>It restricts unauthorized access to the workbook.</t>
  </si>
  <si>
    <t>It deletes the contents of the workbook.</t>
  </si>
  <si>
    <t>Which Excel feature allows you to protect an entire workbook with a password?</t>
  </si>
  <si>
    <t>Workbook Protection</t>
  </si>
  <si>
    <t>Workbook Lock</t>
  </si>
  <si>
    <t>Workbook Security</t>
  </si>
  <si>
    <t>Workbook Encryption</t>
  </si>
  <si>
    <t>Protecting a worksheet involves _________</t>
  </si>
  <si>
    <t>Protecting Cells</t>
  </si>
  <si>
    <t>Protecting Worksheet</t>
  </si>
  <si>
    <t>Both Protecting Cells &amp; Protecting Worksheet</t>
  </si>
  <si>
    <t>Protecting Workbook</t>
  </si>
  <si>
    <t>To defend against dangers, we need to use excel worksheet protection that includes _________</t>
  </si>
  <si>
    <t>Locked</t>
  </si>
  <si>
    <t>Hidden</t>
  </si>
  <si>
    <t>Both Locked &amp; Hidden</t>
  </si>
  <si>
    <t>Unlocked</t>
  </si>
  <si>
    <t>_________ are Graphical representation of Worksheet DATA</t>
  </si>
  <si>
    <t>Pictures</t>
  </si>
  <si>
    <t>Charts</t>
  </si>
  <si>
    <t>Smart Art</t>
  </si>
  <si>
    <t>Map</t>
  </si>
  <si>
    <t>Paid to Jyotiranjan Biswal</t>
  </si>
  <si>
    <t>_________ option is only style choice that completely prevents the person using the workbook from entering invalid data</t>
  </si>
  <si>
    <t>Warning</t>
  </si>
  <si>
    <t>Information</t>
  </si>
  <si>
    <t>Stop</t>
  </si>
  <si>
    <t>Quit</t>
  </si>
  <si>
    <t>Sorting could be from _________</t>
  </si>
  <si>
    <t>Top to Bottom</t>
  </si>
  <si>
    <t>Left to Right</t>
  </si>
  <si>
    <t>Both Top to Bottom &amp; Left to Right</t>
  </si>
  <si>
    <t>Line Chart is used for _________</t>
  </si>
  <si>
    <t>compare data values</t>
  </si>
  <si>
    <t>trends over time</t>
  </si>
  <si>
    <t>Distribution</t>
  </si>
  <si>
    <t>Web queries allow user to query data from specific _________, and retrieve information directly in EXCEL</t>
  </si>
  <si>
    <t>Paid to Mr Naba Kishor Sahoo</t>
  </si>
  <si>
    <t>world wide web</t>
  </si>
  <si>
    <t>internet</t>
  </si>
  <si>
    <t>intranet</t>
  </si>
  <si>
    <t>What does the SEARCH function return if the specified text is not found within the text string?</t>
  </si>
  <si>
    <t>REF!</t>
  </si>
  <si>
    <t>When configuring data validation, what is the purpose of an input message?</t>
  </si>
  <si>
    <t>It displays an error message if an incorrect value is entered</t>
  </si>
  <si>
    <t>It guides users when they select the cell</t>
  </si>
  <si>
    <t>Paid to RAMESH KUMAR BARIK</t>
  </si>
  <si>
    <t>It provides an additional layer of validation</t>
  </si>
  <si>
    <t>It allows users to enter any type of data</t>
  </si>
  <si>
    <t>SECTION: TAXATION &amp; COMPLIANCE</t>
  </si>
  <si>
    <t>Paid to HOTEL MAA TARINI</t>
  </si>
  <si>
    <t>Paid to Soumya Ranjan Rautra</t>
  </si>
  <si>
    <t>Paid to Ankit Anupam Sahoo</t>
  </si>
  <si>
    <t>Taxation &amp; Compliance</t>
  </si>
  <si>
    <t>What is the primary purpose of E-PAN registration in India?</t>
  </si>
  <si>
    <t>To apply for a passport</t>
  </si>
  <si>
    <t>To obtain a unique identification number</t>
  </si>
  <si>
    <t>To streamline the taxation process</t>
  </si>
  <si>
    <t>To access government healthcare services</t>
  </si>
  <si>
    <t>Which of the following is required to apply for E-PAN?</t>
  </si>
  <si>
    <t>Aadhar Card</t>
  </si>
  <si>
    <t>Voter ID</t>
  </si>
  <si>
    <t>Driving Licence</t>
  </si>
  <si>
    <t>Paid to Mr MOHAN BARAD</t>
  </si>
  <si>
    <t>Passport</t>
  </si>
  <si>
    <t>Which website should you visit to initiate income tax registration?</t>
  </si>
  <si>
    <t>[link removed]</t>
  </si>
  <si>
    <t>https://www.irs.gov</t>
  </si>
  <si>
    <t>https://www.taxportal.in</t>
  </si>
  <si>
    <t>Paid to Mahesh Prasad Mohapatra</t>
  </si>
  <si>
    <t>What is the last step to complete income tax registration?</t>
  </si>
  <si>
    <t>Confirm OTP</t>
  </si>
  <si>
    <t>Provide Aadhar number</t>
  </si>
  <si>
    <t>Set a personalized message</t>
  </si>
  <si>
    <t>Click on Cancel</t>
  </si>
  <si>
    <t>Who is Eligible for ITR-1 filling ?</t>
  </si>
  <si>
    <t>Individuals with income from Business and Profession</t>
  </si>
  <si>
    <t>Individuals with income from Salary One House Property and Other Sources Excluding winnings from Lottery and Income from Race Horses</t>
  </si>
  <si>
    <t>Non Resident Individual</t>
  </si>
  <si>
    <t>Individual with agricultural income exceeding 5000</t>
  </si>
  <si>
    <t>AIS Stands for</t>
  </si>
  <si>
    <t>Annual Information Statement</t>
  </si>
  <si>
    <t>Assessees Information Statement</t>
  </si>
  <si>
    <t>Accounting Information Statement</t>
  </si>
  <si>
    <t>Which of the following is a Popular Tax Software used for Income tax Filing ?</t>
  </si>
  <si>
    <t>COMPUTAX SOFTWARE</t>
  </si>
  <si>
    <t>WINMAN SOFTWARE</t>
  </si>
  <si>
    <t>CA-ERP</t>
  </si>
  <si>
    <t>All of these</t>
  </si>
  <si>
    <t>Who is responsible for generating the e-Way Bill?</t>
  </si>
  <si>
    <t>The consignee</t>
  </si>
  <si>
    <t>The Transporter</t>
  </si>
  <si>
    <t>Paid to Arun Kumar Singh</t>
  </si>
  <si>
    <t>The consignor (supplier)</t>
  </si>
  <si>
    <t>The buyer</t>
  </si>
  <si>
    <t>Paid to Nanda Communication</t>
  </si>
  <si>
    <t>What does GST TRN stand for?</t>
  </si>
  <si>
    <t>Goods and Services Tax Transaction Reference Number</t>
  </si>
  <si>
    <t>Goods and Services Tax Taxpayer Registration Number</t>
  </si>
  <si>
    <t>Goods and Services Tax Transaction Reporting Number</t>
  </si>
  <si>
    <t>Paid to SUNAKAR PRADHAN</t>
  </si>
  <si>
    <t>Goods and Services Tax Refund Number</t>
  </si>
  <si>
    <t>What information is typically required when applying for a GST TRN?</t>
  </si>
  <si>
    <t>Passport number and date of birth</t>
  </si>
  <si>
    <t>Business name, address and PAN (Permanent Account Number)</t>
  </si>
  <si>
    <t>Driver's license and vehicle registration details</t>
  </si>
  <si>
    <t>Educational qualifications and employment history</t>
  </si>
  <si>
    <t>Which of the following statements is correct regarding the GST registration process in India?</t>
  </si>
  <si>
    <t>GST registration is mandatory only for businesses with an annual turnover exceeding 10 lakhs</t>
  </si>
  <si>
    <t>A business must apply for GST registration within 30 days of crossing the threshold limit of 40 lakhs in turnover</t>
  </si>
  <si>
    <t>An existing VAT or service tax registered business must obtain a separate GST registration</t>
  </si>
  <si>
    <t>The GST registration process requires only the submission of a PAN card and proof of address</t>
  </si>
  <si>
    <t>Which of the following is the official website for GST registration in India?</t>
  </si>
  <si>
    <t>www.gstindia.gov.in</t>
  </si>
  <si>
    <t>www.gst.gov.in</t>
  </si>
  <si>
    <t>www.india.gov.in/gst</t>
  </si>
  <si>
    <t>www.gstregistration.in</t>
  </si>
  <si>
    <t>What does "PPOB" stand for in GST registration?</t>
  </si>
  <si>
    <t>Principal Place of Business</t>
  </si>
  <si>
    <t>Primary Point of Business</t>
  </si>
  <si>
    <t>Professional Place of Business</t>
  </si>
  <si>
    <t>Personal Place of Business</t>
  </si>
  <si>
    <t>What is the purpose of the HSN or SAC codes in the "Goods and Services" section?</t>
  </si>
  <si>
    <t>To verify the business</t>
  </si>
  <si>
    <t>To calculate taxes</t>
  </si>
  <si>
    <t>Paid to ******3417</t>
  </si>
  <si>
    <t>To classify products and services</t>
  </si>
  <si>
    <t>To provide contact information</t>
  </si>
  <si>
    <t>Paid to Jagan Vesitable shop</t>
  </si>
  <si>
    <t>Which of the following statements is TRUE regarding filing a Nil Tax Return under GST?</t>
  </si>
  <si>
    <t>A Nil Tax Return must be filed even if there are no transactions or no tax liability during the tax period</t>
  </si>
  <si>
    <t>Filing a Nil Tax Return is optional and only required if there are transactions but no tax liability</t>
  </si>
  <si>
    <t>Nil Tax Returns are filed using a separate form that is not available on the GST portal</t>
  </si>
  <si>
    <t>Businesses with zero tax liability are exempt from filing any GST returns</t>
  </si>
  <si>
    <t>Why is it important to file a Nil Return under GST even when there are no transactions to Report?</t>
  </si>
  <si>
    <t>To receive a refund from the government</t>
  </si>
  <si>
    <t>To avoid paying a late filing fee</t>
  </si>
  <si>
    <t>To maintain compliance with tax regulations</t>
  </si>
  <si>
    <t>To report exempt transactions</t>
  </si>
  <si>
    <t>When is a GST Nil Return typically required to be filed?</t>
  </si>
  <si>
    <t>Weekly</t>
  </si>
  <si>
    <t>Monthly</t>
  </si>
  <si>
    <t>Quarterly</t>
  </si>
  <si>
    <t>Half Yearly</t>
  </si>
  <si>
    <t>What is the primary purpose of filing GSTR-1 under the Goods and Services Tax (GST) system?</t>
  </si>
  <si>
    <t>Paid to Bajrangi cake and snacks</t>
  </si>
  <si>
    <t>To report the inward supplies of goods and services</t>
  </si>
  <si>
    <t>To declare the output tax liability and claim input tax credits</t>
  </si>
  <si>
    <t>To provide details of outward supplies (sales) made during the tax period</t>
  </si>
  <si>
    <t>To report the details of tax payments made to the government</t>
  </si>
  <si>
    <t>Paid to Sugar and Spice</t>
  </si>
  <si>
    <t>In GSTR-1 B2C large applicable for</t>
  </si>
  <si>
    <t>Inter-state outward supplies to an unregistered person having an invoice value greater than 250000</t>
  </si>
  <si>
    <t>Intra-state outward supplies to an unregistered person having an invoice value greater than 250000</t>
  </si>
  <si>
    <t>Intra-state outward supplies to an unregistered person having an invoice value greater than 500000</t>
  </si>
  <si>
    <t>None of above</t>
  </si>
  <si>
    <t>What is the purpose of Input Tax Credit (ITC) in GSTR-3B?</t>
  </si>
  <si>
    <t>Paid to Sabitri enterprise</t>
  </si>
  <si>
    <t>To claim a refund from the government</t>
  </si>
  <si>
    <t>To report GST paid on outward supplies</t>
  </si>
  <si>
    <t>To offset GST paid on purchases against GST collected on sales</t>
  </si>
  <si>
    <t>To calculate penalties for late filing</t>
  </si>
  <si>
    <t>Which section of GSTR-3B is used to report the summary of inward supplies subject to the reverse charge mechanism (RCM)?</t>
  </si>
  <si>
    <t>Section A: Outward Supplies and Tax Liability</t>
  </si>
  <si>
    <t>Section B: Inward Supplies Attracting RCM</t>
  </si>
  <si>
    <t>Section C: ITC Claimed and Reversed</t>
  </si>
  <si>
    <t>Section D: Tax Liability and ITC Reconciliation</t>
  </si>
  <si>
    <t>How can you import data into the GST Offline Tool?</t>
  </si>
  <si>
    <t>Paid to Bajaranga seeds</t>
  </si>
  <si>
    <t>Manually enter data only</t>
  </si>
  <si>
    <t>Import data only from Excel</t>
  </si>
  <si>
    <t>Both manually enter data and import data from Excel</t>
  </si>
  <si>
    <t>What is the primary purpose of registering in EPF</t>
  </si>
  <si>
    <t>Providing unemployment benefits</t>
  </si>
  <si>
    <t>Offering health insurance to employees</t>
  </si>
  <si>
    <t>Promoting employee savings for retirement</t>
  </si>
  <si>
    <t>Funding employee training programs</t>
  </si>
  <si>
    <t>Paid to MAA SARALA VARIETY STORE</t>
  </si>
  <si>
    <t>How many digits does the UAN (Universal Account Number) consist of?</t>
  </si>
  <si>
    <t>What is the primary purpose of ESI registration?</t>
  </si>
  <si>
    <t>Paid to ******0944</t>
  </si>
  <si>
    <t>SECTION: ACCESS &amp; SQL</t>
  </si>
  <si>
    <t>Paid to Dibyajit Samal</t>
  </si>
  <si>
    <t>Access &amp; SQL</t>
  </si>
  <si>
    <t>Paid to SHUBHRAJEET KUMAR PANDA</t>
  </si>
  <si>
    <t>What is the primary key used for in a table?</t>
  </si>
  <si>
    <t>To uniquely identify records</t>
  </si>
  <si>
    <t>To connect forms</t>
  </si>
  <si>
    <t>To format text</t>
  </si>
  <si>
    <t>Paid to Dr SAMIRA PATRA</t>
  </si>
  <si>
    <t>What does a query allow you to do in Access?</t>
  </si>
  <si>
    <t>Sort and filter data</t>
  </si>
  <si>
    <t>Paid to TANMAY SAHOO</t>
  </si>
  <si>
    <t>Enter new records</t>
  </si>
  <si>
    <t>Print data</t>
  </si>
  <si>
    <t>Design forms</t>
  </si>
  <si>
    <t>Paid to Maa Rama Chandi Medical Store</t>
  </si>
  <si>
    <t>What is the file extension for an Access database?</t>
  </si>
  <si>
    <t>.docx</t>
  </si>
  <si>
    <t>Which of the following is not an object in Access?</t>
  </si>
  <si>
    <t>Table</t>
  </si>
  <si>
    <t>Spreadsheet</t>
  </si>
  <si>
    <t>Query</t>
  </si>
  <si>
    <t>Form</t>
  </si>
  <si>
    <t>How can you enforce referential integrity between two tables?</t>
  </si>
  <si>
    <t>Create a primary key</t>
  </si>
  <si>
    <t>Use a form</t>
  </si>
  <si>
    <t>Create a relationship between the tables</t>
  </si>
  <si>
    <t>Create a query</t>
  </si>
  <si>
    <t>In Access, what is the purpose of a form?</t>
  </si>
  <si>
    <t>To display and enter data</t>
  </si>
  <si>
    <t>To store large data</t>
  </si>
  <si>
    <t>To generate reports</t>
  </si>
  <si>
    <t>To perform calculations</t>
  </si>
  <si>
    <t>Which view is used to create or modify a table structure in Access?</t>
  </si>
  <si>
    <t>Datasheet View</t>
  </si>
  <si>
    <t>Design View</t>
  </si>
  <si>
    <t>Paid to SANJU KRISHNA HOT CHIPS</t>
  </si>
  <si>
    <t>Report View</t>
  </si>
  <si>
    <t>Form View</t>
  </si>
  <si>
    <t>Which of the following is NOT a valid data type in Access?</t>
  </si>
  <si>
    <t>Paid to AGASTI KUMAR MOHANTY</t>
  </si>
  <si>
    <t>AutoNumber</t>
  </si>
  <si>
    <t>Graphic</t>
  </si>
  <si>
    <t>Yes/No</t>
  </si>
  <si>
    <t>Paid to Durgabati variety store</t>
  </si>
  <si>
    <t>What is the purpose of the Report object in Access?</t>
  </si>
  <si>
    <t>To view or print data in a formatted way</t>
  </si>
  <si>
    <t>To create tables</t>
  </si>
  <si>
    <t>To input data</t>
  </si>
  <si>
    <t>To delete data</t>
  </si>
  <si>
    <t>In an Access query, which operator is used for wildcard searches?</t>
  </si>
  <si>
    <t>&amp;</t>
  </si>
  <si>
    <t>Paid to SATISH KUMAR DAS</t>
  </si>
  <si>
    <t>*</t>
  </si>
  <si>
    <t>Which short cut key is use to switch between field name and field property in table design?</t>
  </si>
  <si>
    <t>Ctrl+Q</t>
  </si>
  <si>
    <t>F6</t>
  </si>
  <si>
    <t>Paid to BISWAJIT</t>
  </si>
  <si>
    <t>Ctrl + Enter</t>
  </si>
  <si>
    <t>Alt+Q</t>
  </si>
  <si>
    <t>What is the maximum number of characters for a Short Text field in Access?</t>
  </si>
  <si>
    <t>Which object in Access retrieves specific data by filtering based on certain criteria?</t>
  </si>
  <si>
    <t>Report</t>
  </si>
  <si>
    <t>Paid to Pradhyumna Martha</t>
  </si>
  <si>
    <t>How can you create a one-to-many relationship between two tables in Access?</t>
  </si>
  <si>
    <t>Connect two forms</t>
  </si>
  <si>
    <t>Use a primary key and foreign key</t>
  </si>
  <si>
    <t>Paid to Manorama Swain</t>
  </si>
  <si>
    <t>Use queries</t>
  </si>
  <si>
    <t>Use macros</t>
  </si>
  <si>
    <t>Paid to Kumareswar fancy</t>
  </si>
  <si>
    <t>What is the default view for entering data into a table in Access?</t>
  </si>
  <si>
    <t>What is the purpose of the AutoNumber data type?</t>
  </si>
  <si>
    <t>To enter numeric data</t>
  </si>
  <si>
    <t>To create a unique identifier automatically</t>
  </si>
  <si>
    <t>To generate random numbers</t>
  </si>
  <si>
    <t>To manage large numbers</t>
  </si>
  <si>
    <t>Which part of the database stores the actual data in Access?</t>
  </si>
  <si>
    <t>Reports</t>
  </si>
  <si>
    <t>Queries</t>
  </si>
  <si>
    <t>Forms</t>
  </si>
  <si>
    <t>Which is not a type of join in Access?</t>
  </si>
  <si>
    <t>Inner Join</t>
  </si>
  <si>
    <t>Outer Join</t>
  </si>
  <si>
    <t>Cross Join</t>
  </si>
  <si>
    <t>Self Join</t>
  </si>
  <si>
    <t>How can you prevent duplicate records in an Access table?</t>
  </si>
  <si>
    <t>Use a primary key</t>
  </si>
  <si>
    <t>Run a query</t>
  </si>
  <si>
    <t>Use a report</t>
  </si>
  <si>
    <t>Which section of an Access report is used for page headers?</t>
  </si>
  <si>
    <t>Report Header</t>
  </si>
  <si>
    <t>Group Header</t>
  </si>
  <si>
    <t>Page Header</t>
  </si>
  <si>
    <t>Detail</t>
  </si>
  <si>
    <t>What is the maximum number of fields that can be included in an Access query?</t>
  </si>
  <si>
    <t>Which key is used to navigate between records in Access?</t>
  </si>
  <si>
    <t>F1</t>
  </si>
  <si>
    <t>Tab</t>
  </si>
  <si>
    <t>F11</t>
  </si>
  <si>
    <t>Arrow Keys</t>
  </si>
  <si>
    <t>Paid to Sharada Homoeo Clinic</t>
  </si>
  <si>
    <t>In Access, a "form" is typically used to:</t>
  </si>
  <si>
    <t>Input, modify, and display data</t>
  </si>
  <si>
    <t>Paid to MAMATADAS</t>
  </si>
  <si>
    <t>Summarize data</t>
  </si>
  <si>
    <t>Store large amounts of data</t>
  </si>
  <si>
    <t>In which section of an Access report would you place totals or summaries?</t>
  </si>
  <si>
    <t>Page Footer</t>
  </si>
  <si>
    <t>Report Footer</t>
  </si>
  <si>
    <t>Paid to Delhi wala soya chaap</t>
  </si>
  <si>
    <t>Paid to MAA SARALA FLOOR MILLS</t>
  </si>
  <si>
    <t>What is the relationship between a primary key and a foreign key in Access?</t>
  </si>
  <si>
    <t>One-to-One</t>
  </si>
  <si>
    <t>One-to-Many</t>
  </si>
  <si>
    <t>Many-to-Many</t>
  </si>
  <si>
    <t>No relationship</t>
  </si>
  <si>
    <t>Which operator is used to select records with values within a specified range in Access queries?</t>
  </si>
  <si>
    <t>LIKE</t>
  </si>
  <si>
    <t>BETWEEN</t>
  </si>
  <si>
    <t>IN</t>
  </si>
  <si>
    <t>Paid to TAPAN KUMAR SAHOO</t>
  </si>
  <si>
    <t>IS NULL</t>
  </si>
  <si>
    <t>Paid to Nirakara Ganguram</t>
  </si>
  <si>
    <t>Which function can be used in queries to perform calculations in Access?</t>
  </si>
  <si>
    <t>COUNT</t>
  </si>
  <si>
    <t>AVG</t>
  </si>
  <si>
    <t>In a table, a primary key:</t>
  </si>
  <si>
    <t>Can be left blank</t>
  </si>
  <si>
    <t>Must contain unique values</t>
  </si>
  <si>
    <t>Can contain duplicate values</t>
  </si>
  <si>
    <t>Can be a calculated field</t>
  </si>
  <si>
    <t>In Access, what does the "Yes/No" data type store?</t>
  </si>
  <si>
    <t>Numeric values</t>
  </si>
  <si>
    <t>True/False or Boolean values</t>
  </si>
  <si>
    <t>Long text values</t>
  </si>
  <si>
    <t>Dates</t>
  </si>
  <si>
    <t>Paid to JITENDRA MISHRA</t>
  </si>
  <si>
    <t>What is a parameter query in Access?</t>
  </si>
  <si>
    <t>A query that asks for input before execution</t>
  </si>
  <si>
    <t>A query that uses only pre-defined criteria</t>
  </si>
  <si>
    <t>A query that runs automatically</t>
  </si>
  <si>
    <t>A query that creates a report</t>
  </si>
  <si>
    <t>What is the purpose of the "Group By" clause in an Access query?</t>
  </si>
  <si>
    <t>To sort the results</t>
  </si>
  <si>
    <t>To summarize data</t>
  </si>
  <si>
    <t>To format reports</t>
  </si>
  <si>
    <t>To join tables</t>
  </si>
  <si>
    <t>How can you filter data in an Access table?</t>
  </si>
  <si>
    <t>By using a macro</t>
  </si>
  <si>
    <t>By using a filter option in the datasheet view</t>
  </si>
  <si>
    <t>By creating a report</t>
  </si>
  <si>
    <t>By using the navigation pane</t>
  </si>
  <si>
    <t>Which data type would you use to store large blocks of text in Access?</t>
  </si>
  <si>
    <t>Short Text</t>
  </si>
  <si>
    <t>Long Text</t>
  </si>
  <si>
    <t>OLE object</t>
  </si>
  <si>
    <t>What does SQL stand for?</t>
  </si>
  <si>
    <t>Sequential Query Language</t>
  </si>
  <si>
    <t>Structured Query Language</t>
  </si>
  <si>
    <t>Standard Query Language</t>
  </si>
  <si>
    <t>Simple Query Language</t>
  </si>
  <si>
    <t>Which SQL statement is used to retrieve data from a database?</t>
  </si>
  <si>
    <t>GET</t>
  </si>
  <si>
    <t>SELECT</t>
  </si>
  <si>
    <t>RETRIEVE</t>
  </si>
  <si>
    <t>SHOW</t>
  </si>
  <si>
    <t>Paid to Laxminarayan Bhandar</t>
  </si>
  <si>
    <t>What is the correct SQL keyword to select all columns from a table?</t>
  </si>
  <si>
    <t>SELECT #</t>
  </si>
  <si>
    <t>SELECT ALL</t>
  </si>
  <si>
    <t>SELECT *</t>
  </si>
  <si>
    <t>SELECT COLUMN</t>
  </si>
  <si>
    <t>Which SQL clause is used to filter the results of a SELECT query?</t>
  </si>
  <si>
    <t>WHERE</t>
  </si>
  <si>
    <t>HAVING</t>
  </si>
  <si>
    <t>ORDER BY</t>
  </si>
  <si>
    <t>FROM</t>
  </si>
  <si>
    <t>In SQL, which operator is used to search for a specific pattern?</t>
  </si>
  <si>
    <t>=</t>
  </si>
  <si>
    <t>Which SQL function is used to return the total number of rows in a table?</t>
  </si>
  <si>
    <t>SUM()</t>
  </si>
  <si>
    <t>MAX()</t>
  </si>
  <si>
    <t>AVG()</t>
  </si>
  <si>
    <t>What is the correct SQL statement to retrieve all rows where the value of "Salary" is between 50,000 and 100,000?</t>
  </si>
  <si>
    <t>SELECT * FROM Employees WHERE Salary LIKE 50000 AND 100000;</t>
  </si>
  <si>
    <t>SELECT * FROM Employees WHERE Salary IN (50000, 100000);</t>
  </si>
  <si>
    <t>SELECT * FROM Employees WHERE BETWEEN Salary 50000 AND 100000;</t>
  </si>
  <si>
    <t>SELECT * FROM Employees WHERE Salary &gt;= 50000 OR &lt;= 100000;</t>
  </si>
  <si>
    <t>Which SQL clause is used to sort the result-set?</t>
  </si>
  <si>
    <t>SORT BY</t>
  </si>
  <si>
    <t>GROUP BY</t>
  </si>
  <si>
    <t>Which of the following file types can you import into Access?</t>
  </si>
  <si>
    <t>Excel (.xlsx)</t>
  </si>
  <si>
    <t>Text files (.txt or .csv)</t>
  </si>
  <si>
    <t>XML files (.xml)</t>
  </si>
  <si>
    <t>Which wizard in Access helps you import data from an Excel file?</t>
  </si>
  <si>
    <t>Import Wizard</t>
  </si>
  <si>
    <t>Excel Import Wizard</t>
  </si>
  <si>
    <t>Data Connection Wizard</t>
  </si>
  <si>
    <t>Spreadsheet Wizard</t>
  </si>
  <si>
    <t>Paid to RG Hot Soup</t>
  </si>
  <si>
    <t>When importing data from Excel into Access, what does Access do if the data contains an existing primary key?</t>
  </si>
  <si>
    <t>Access will generate a new primary key</t>
  </si>
  <si>
    <t>Access will ignore the primary key</t>
  </si>
  <si>
    <t>Access will let you choose to append or replace the data</t>
  </si>
  <si>
    <t>Access will create a new table</t>
  </si>
  <si>
    <t>What is the most common file format used when importing plain text data into Access?</t>
  </si>
  <si>
    <t>.txt or .csv</t>
  </si>
  <si>
    <t>.pdf</t>
  </si>
  <si>
    <t>What does the "Append" option do when importing data into an existing table in Access?</t>
  </si>
  <si>
    <t>Deletes the existing data and replaces it with the new data</t>
  </si>
  <si>
    <t>Adds the new data to the end of the existing table</t>
  </si>
  <si>
    <t>Updates the existing data</t>
  </si>
  <si>
    <t>Combines both tables into one new table</t>
  </si>
  <si>
    <t>Which of the following queries would be used to update existing records in a table?</t>
  </si>
  <si>
    <t>Select Query</t>
  </si>
  <si>
    <t>Crosstab Query</t>
  </si>
  <si>
    <t>Make-Table Query</t>
  </si>
  <si>
    <t>Update Query</t>
  </si>
  <si>
    <t>What type of query would you use to delete records from a table in Access?</t>
  </si>
  <si>
    <t>Delete Query</t>
  </si>
  <si>
    <t>Append Query</t>
  </si>
  <si>
    <t>Which of the following is a calculated field in an Access query?</t>
  </si>
  <si>
    <t>A field that uses arithmetic to combine values from other fields</t>
  </si>
  <si>
    <t>A field that stores numeric data</t>
  </si>
  <si>
    <t>A field that links two tables</t>
  </si>
  <si>
    <t>A field that contains a foreign key</t>
  </si>
  <si>
    <t>Which of the following would be a logical operator used in Access query criteria?</t>
  </si>
  <si>
    <t>Paid to ******7084</t>
  </si>
  <si>
    <t>MAX</t>
  </si>
  <si>
    <t>What does the "Control" in a form refer to?</t>
  </si>
  <si>
    <t>A way to control access to the database</t>
  </si>
  <si>
    <t>An object on the form, such as a text box or button</t>
  </si>
  <si>
    <t>A setting for security permissions</t>
  </si>
  <si>
    <t>What is the purpose of a subform?</t>
  </si>
  <si>
    <t>To display a form within another form</t>
  </si>
  <si>
    <t>To create reports</t>
  </si>
  <si>
    <t>To manage databases</t>
  </si>
  <si>
    <t>To enter large data</t>
  </si>
  <si>
    <t>In which view can you see live data as you modify your form?</t>
  </si>
  <si>
    <t>Layout View</t>
  </si>
  <si>
    <t>Paid to Renubala Sahoo</t>
  </si>
  <si>
    <t>Which type of control can be used to display a calculation on a form?</t>
  </si>
  <si>
    <t>Text Box</t>
  </si>
  <si>
    <t>Combo Box</t>
  </si>
  <si>
    <t>List Box</t>
  </si>
  <si>
    <t>Option Group</t>
  </si>
  <si>
    <t>Paid to IT Rose</t>
  </si>
  <si>
    <t>How can you add a combo box to a form?</t>
  </si>
  <si>
    <t>Use the Combo Box Wizard</t>
  </si>
  <si>
    <t>Drag it from the toolbox</t>
  </si>
  <si>
    <t>Both a and b</t>
  </si>
  <si>
    <t>Which view should you use to set the tab order for a form?</t>
  </si>
  <si>
    <t>What is the main function of a bound control on a form?</t>
  </si>
  <si>
    <t>To store data temporarily</t>
  </si>
  <si>
    <t>To link to data in the database</t>
  </si>
  <si>
    <t>To display a calculation</t>
  </si>
  <si>
    <t>Which event triggers when a user presses a key while the form has focus?</t>
  </si>
  <si>
    <t>On Click</t>
  </si>
  <si>
    <t>On Load</t>
  </si>
  <si>
    <t>On Key Down</t>
  </si>
  <si>
    <t>On Got Focus</t>
  </si>
  <si>
    <t>How do you ensure data validation in a form?</t>
  </si>
  <si>
    <t>By using VBA code</t>
  </si>
  <si>
    <t>By setting properties in the form's controls</t>
  </si>
  <si>
    <t>By using validation rules</t>
  </si>
  <si>
    <t>Which form property is used to restrict the types of data a user can enter?</t>
  </si>
  <si>
    <t>Input Mask</t>
  </si>
  <si>
    <t>Control Source</t>
  </si>
  <si>
    <t>Record Source</t>
  </si>
  <si>
    <t>What is a report in MS Access used for?</t>
  </si>
  <si>
    <t>Data input</t>
  </si>
  <si>
    <t>Data analysis</t>
  </si>
  <si>
    <t>Data presentation</t>
  </si>
  <si>
    <t>Data deletion</t>
  </si>
  <si>
    <t>Which section of a report repeats for each record?</t>
  </si>
  <si>
    <t>Paid to ******4509</t>
  </si>
  <si>
    <t>What does a report's Detail section display?</t>
  </si>
  <si>
    <t>Summary of data</t>
  </si>
  <si>
    <t>Individual records</t>
  </si>
  <si>
    <t>Report title</t>
  </si>
  <si>
    <t>Page number</t>
  </si>
  <si>
    <t>What is the purpose of a Group Header in a report?</t>
  </si>
  <si>
    <t>To label data groups</t>
  </si>
  <si>
    <t>To display page numbers</t>
  </si>
  <si>
    <t>To display the report title</t>
  </si>
  <si>
    <t>How can you sort records in a report?</t>
  </si>
  <si>
    <t>Using the Sort &amp; Group dialog box</t>
  </si>
  <si>
    <t>By creating a query</t>
  </si>
  <si>
    <t>What is the purpose of a report footer?</t>
  </si>
  <si>
    <t>To display data summaries</t>
  </si>
  <si>
    <t>To show page numbers</t>
  </si>
  <si>
    <t>How can you hide a control on a report?</t>
  </si>
  <si>
    <t>By setting its Visible property to No</t>
  </si>
  <si>
    <t>By deleting the control</t>
  </si>
  <si>
    <t>By setting its Enabled property to No</t>
  </si>
  <si>
    <t>Paid to choudhury gas repairing</t>
  </si>
  <si>
    <t>By setting its Locked property to Yes</t>
  </si>
  <si>
    <t>Which event would you use to perform an action before a report prints?</t>
  </si>
  <si>
    <t>On Open</t>
  </si>
  <si>
    <t>On Close</t>
  </si>
  <si>
    <t>Paid to MedPlus</t>
  </si>
  <si>
    <t>On Print</t>
  </si>
  <si>
    <t>What is the main advantage of using a query as the Record Source for a report?</t>
  </si>
  <si>
    <t>To filter records</t>
  </si>
  <si>
    <t>To combine data from multiple tables</t>
  </si>
  <si>
    <t>How can you ensure that a report shows data from the most recent records only?</t>
  </si>
  <si>
    <t>By sorting records in descending order</t>
  </si>
  <si>
    <t>Paid to ******6509</t>
  </si>
  <si>
    <t>By filtering records in the query</t>
  </si>
  <si>
    <t>By using the Top Values property in the query</t>
  </si>
  <si>
    <t>How can you prevent a report from printing records that have a zero balance?</t>
  </si>
  <si>
    <t>Paid to Minatee Behera</t>
  </si>
  <si>
    <t>By using a filter in the query</t>
  </si>
  <si>
    <t>By setting the Visible property of the Detail section to No</t>
  </si>
  <si>
    <t>By using conditional formatting</t>
  </si>
  <si>
    <t>Which option allows a report to display data from only the current year?</t>
  </si>
  <si>
    <t>Filter</t>
  </si>
  <si>
    <t>Query criteria</t>
  </si>
  <si>
    <t>Sorting</t>
  </si>
  <si>
    <t>Grouping</t>
  </si>
  <si>
    <t>Paid to JAHNAVI AUTOMOBILES PRIVATE</t>
  </si>
  <si>
    <t>Which report control can be used to display an embedded chart?</t>
  </si>
  <si>
    <t>Image Control</t>
  </si>
  <si>
    <t>OLE Object</t>
  </si>
  <si>
    <t>Subreport</t>
  </si>
  <si>
    <t>Paid to Aditya Car Automotives Private Ltd</t>
  </si>
  <si>
    <t>In Microsoft Access, when adding a new field in Layout View, where can you find the list of available fields to choose from?</t>
  </si>
  <si>
    <t>In the Field List pane</t>
  </si>
  <si>
    <t>In the Group, Sort, and Total pane</t>
  </si>
  <si>
    <t>In the Property Sheet pane</t>
  </si>
  <si>
    <t>In the Navigation Pane</t>
  </si>
  <si>
    <t>What is the main advantage of using Layout View when making modifications to a report layout?</t>
  </si>
  <si>
    <t>It allows you to apply formatting styles easily.</t>
  </si>
  <si>
    <t>It provides an exact preview of the printed report.</t>
  </si>
  <si>
    <t>It enables you to add new fields directly.</t>
  </si>
  <si>
    <t>Paid to Odisha Treasury</t>
  </si>
  <si>
    <t>It offers advanced filtering options.</t>
  </si>
  <si>
    <t>Which of the following SQL commands is used to retrieve data from a database?</t>
  </si>
  <si>
    <t>INSERT</t>
  </si>
  <si>
    <t>DELETE</t>
  </si>
  <si>
    <t>UPDATE</t>
  </si>
  <si>
    <t>Which SQL keyword is used to sort the result-set?</t>
  </si>
  <si>
    <t>ORDER</t>
  </si>
  <si>
    <t>SORT</t>
  </si>
  <si>
    <t>Which SQL clause is used to filter the rows returned by a query?</t>
  </si>
  <si>
    <t>Which SQL statement is used to insert new data into a database?</t>
  </si>
  <si>
    <t>INSERT INTO</t>
  </si>
  <si>
    <t>ADD NEW</t>
  </si>
  <si>
    <t>ADD RECORD</t>
  </si>
  <si>
    <t>INSERT NEW</t>
  </si>
  <si>
    <t>Which SQL statement is used to update data in a database?</t>
  </si>
  <si>
    <t>MODIFY</t>
  </si>
  <si>
    <t>CHANGE</t>
  </si>
  <si>
    <t>SET</t>
  </si>
  <si>
    <t>Paid to Ajit Patra</t>
  </si>
  <si>
    <t>Which clause is used to filter groups in SQL?</t>
  </si>
  <si>
    <t>Paid to Jay Jagannath Chat</t>
  </si>
  <si>
    <t>What does the SQL JOIN clause do?</t>
  </si>
  <si>
    <t>Combines rows from two or more tables based on a related column</t>
  </si>
  <si>
    <t>Removes duplicates</t>
  </si>
  <si>
    <t>Sorts data</t>
  </si>
  <si>
    <t>Filters rows</t>
  </si>
  <si>
    <t>Which SQL statement is used to create a new table?</t>
  </si>
  <si>
    <t>CREATE DATABASE</t>
  </si>
  <si>
    <t>CREATE TABLE</t>
  </si>
  <si>
    <t>CREATE INDEX</t>
  </si>
  <si>
    <t>CREATE INEW TABLE</t>
  </si>
  <si>
    <t>Which SQL keyword is used to retrieve unique values?</t>
  </si>
  <si>
    <t>DISTINCT</t>
  </si>
  <si>
    <t>Paid to Mr BIJAYA KUMAR SAHOO</t>
  </si>
  <si>
    <t>UNIQUE</t>
  </si>
  <si>
    <t>DIFFERENT</t>
  </si>
  <si>
    <t>SEPARATE</t>
  </si>
  <si>
    <t>Which command is used to remove a table from a database?</t>
  </si>
  <si>
    <t>DELETE TABLE</t>
  </si>
  <si>
    <t>DROP TABLE</t>
  </si>
  <si>
    <t>REMOVE TABLE</t>
  </si>
  <si>
    <t>ERASE TABLE</t>
  </si>
  <si>
    <t>Which SQL clause is used to group rows that have the same values?</t>
  </si>
  <si>
    <t>JOIN</t>
  </si>
  <si>
    <t>What is the purpose of the SQL ALTER TABLE statement?</t>
  </si>
  <si>
    <t>To insert data into a table</t>
  </si>
  <si>
    <t>To modify the structure of an existing table</t>
  </si>
  <si>
    <t>To remove a table</t>
  </si>
  <si>
    <t>To retrieve data from a table</t>
  </si>
  <si>
    <t>How can you retrieve data from multiple tables using SQL?</t>
  </si>
  <si>
    <t>Using the SELECT command with JOIN</t>
  </si>
  <si>
    <t>Using the SELECT command with UNION</t>
  </si>
  <si>
    <t>Using the SELECT command with INTERSECT</t>
  </si>
  <si>
    <t>Which SQL clause is used to limit the number of rows returned by a query?</t>
  </si>
  <si>
    <t>LIMIT</t>
  </si>
  <si>
    <t>TOP</t>
  </si>
  <si>
    <t>ROWNUM</t>
  </si>
  <si>
    <t>Paid to One Step</t>
  </si>
  <si>
    <t>What will happen if you execute the following SQL query: DELETE FROM employees;?</t>
  </si>
  <si>
    <t>Deletes the employees table</t>
  </si>
  <si>
    <t>Deletes all records from the employees table</t>
  </si>
  <si>
    <t>Deletes one record from the employees table</t>
  </si>
  <si>
    <t>Deletes the first record from the employees table</t>
  </si>
  <si>
    <t>Paid to KHADIMS BARAMUNDA</t>
  </si>
  <si>
    <t>Which of the following is a DDL command?</t>
  </si>
  <si>
    <t>CREATE</t>
  </si>
  <si>
    <t>What is the primary purpose of a macro in Microsoft Access?</t>
  </si>
  <si>
    <t>To automate repetitive tasks and procedures</t>
  </si>
  <si>
    <t>To create new tables</t>
  </si>
  <si>
    <t>Where can you create a new macro in Access?</t>
  </si>
  <si>
    <t>In the Queries section</t>
  </si>
  <si>
    <t>In the Forms section</t>
  </si>
  <si>
    <t>In the Macros section of the Create tab</t>
  </si>
  <si>
    <t>In the Reports section</t>
  </si>
  <si>
    <t>Which action in a macro is used to open a form or report?</t>
  </si>
  <si>
    <t>OpenForm</t>
  </si>
  <si>
    <t>RunQuery</t>
  </si>
  <si>
    <t>SetVariable</t>
  </si>
  <si>
    <t>OpenReport</t>
  </si>
  <si>
    <t>Which of the following is NOT a valid action in Access macros?</t>
  </si>
  <si>
    <t>SendObject</t>
  </si>
  <si>
    <t>PrintOut</t>
  </si>
  <si>
    <t>RunCode</t>
  </si>
  <si>
    <t>MessageBox</t>
  </si>
  <si>
    <t>How can you run a macro in Access?</t>
  </si>
  <si>
    <t>By pressing F5</t>
  </si>
  <si>
    <t>By using the "Run" button in the Macro Designer</t>
  </si>
  <si>
    <t>By selecting it from the Macros tab</t>
  </si>
  <si>
    <t>By opening a report</t>
  </si>
  <si>
    <t>What is the purpose of the 'If' condition in an Access macro?</t>
  </si>
  <si>
    <t>To execute actions based on a condition</t>
  </si>
  <si>
    <t>To loop through a set of records</t>
  </si>
  <si>
    <t>To apply formatting</t>
  </si>
  <si>
    <t>To set default values</t>
  </si>
  <si>
    <t>Can macros in Access be used to interact with external data sources?</t>
  </si>
  <si>
    <t>Yes, by using the 'SendObject' action</t>
  </si>
  <si>
    <t>No, macros only interact with internal Access objects</t>
  </si>
  <si>
    <t>Yes, by using the 'RunCode' action</t>
  </si>
  <si>
    <t>No, macros are limited to internal data</t>
  </si>
  <si>
    <t>Which type of data is typically used as column headings in a Cross Tab Query?</t>
  </si>
  <si>
    <t>Data types</t>
  </si>
  <si>
    <t>Values from fields in the query</t>
  </si>
  <si>
    <t>Calculated fields</t>
  </si>
  <si>
    <t>Row headers</t>
  </si>
  <si>
    <t>In a Cross Tab Query, which part of the query design is used to specify how data should be aggregated?</t>
  </si>
  <si>
    <t>Row Heading</t>
  </si>
  <si>
    <t>Column Heading</t>
  </si>
  <si>
    <t>Value Field</t>
  </si>
  <si>
    <t>Criteria</t>
  </si>
  <si>
    <t>SECTION: CASEWARE IDEA</t>
  </si>
  <si>
    <t>CaseWare IDEA</t>
  </si>
  <si>
    <t>What is the primary function of CaseWare IDEA?</t>
  </si>
  <si>
    <t>Data entry</t>
  </si>
  <si>
    <t>Data analysis and auditing</t>
  </si>
  <si>
    <t>Financial reporting</t>
  </si>
  <si>
    <t>Project management</t>
  </si>
  <si>
    <t>In CaseWare IDEA, what is the purpose of the "Field" function?</t>
  </si>
  <si>
    <t>To manage user permissions</t>
  </si>
  <si>
    <t>To define new data columns in a database</t>
  </si>
  <si>
    <t>To create financial statements</t>
  </si>
  <si>
    <t>To generate audit reports</t>
  </si>
  <si>
    <t>Which tool in CaseWare IDEA helps in identifying unique records in a database?</t>
  </si>
  <si>
    <t>Join</t>
  </si>
  <si>
    <t>Duplicate Detection</t>
  </si>
  <si>
    <t>Sort</t>
  </si>
  <si>
    <t>Which one of the following extract option can't extract the records where the criteria is city="Kolkata" OR city="Mumbai"?</t>
  </si>
  <si>
    <t>Key Value</t>
  </si>
  <si>
    <t>Indexed</t>
  </si>
  <si>
    <t>Direct</t>
  </si>
  <si>
    <t>Criteria Property</t>
  </si>
  <si>
    <t>Paid to BHAGABAN SETHI</t>
  </si>
  <si>
    <t>To extract transactions that occurred on Sundays using date field in direct extraction of CaseWare IDEA, which function should you apply?</t>
  </si>
  <si>
    <t>Dow()</t>
  </si>
  <si>
    <t>Day()</t>
  </si>
  <si>
    <t>Date()</t>
  </si>
  <si>
    <t>DtoDays()</t>
  </si>
  <si>
    <t>Without overriding the security feature of IDEA, which of the following type of field can be deleted?</t>
  </si>
  <si>
    <t>Numeric</t>
  </si>
  <si>
    <t>Editable Numeric</t>
  </si>
  <si>
    <t>Virtual Numeric</t>
  </si>
  <si>
    <t>Boolean</t>
  </si>
  <si>
    <t>If the given syntax is @split(NAME, "", "", 1, 1), and the input string "AMIT KUMAR ROY", what is the output?</t>
  </si>
  <si>
    <t>AMIT</t>
  </si>
  <si>
    <t>KUMAR</t>
  </si>
  <si>
    <t>ROY</t>
  </si>
  <si>
    <t>KUMAR ROY</t>
  </si>
  <si>
    <t>From which of the following window in CaseWare IDEA can you print the "Field Definition"?</t>
  </si>
  <si>
    <t>Database Property</t>
  </si>
  <si>
    <t>Project Property</t>
  </si>
  <si>
    <t>Field Manipulation</t>
  </si>
  <si>
    <t>Modify Field</t>
  </si>
  <si>
    <t>Which of following feature can be used to extract random record sets to a new database?</t>
  </si>
  <si>
    <t>Sampling</t>
  </si>
  <si>
    <t>Stratification</t>
  </si>
  <si>
    <t>Key Extraction</t>
  </si>
  <si>
    <t>Duplicate Key</t>
  </si>
  <si>
    <t>In CaseWare IDEA software, besides "Shared," what is another use of a project?</t>
  </si>
  <si>
    <t>Individual</t>
  </si>
  <si>
    <t>Remote</t>
  </si>
  <si>
    <t>Collaborative</t>
  </si>
  <si>
    <t>Integrated</t>
  </si>
  <si>
    <t>What is the full form of CAAT?</t>
  </si>
  <si>
    <t>Computerized Automated Audit Tools</t>
  </si>
  <si>
    <t>Computer-Assisted Audit Techniques</t>
  </si>
  <si>
    <t>Comprehensive Audit Analysis Technology</t>
  </si>
  <si>
    <t>Centralized Audit and Assessment Tools</t>
  </si>
  <si>
    <t>Which of the following is a limitation of using Excel as a CAAT tool?</t>
  </si>
  <si>
    <t>Advanced statistical analysis capabilities</t>
  </si>
  <si>
    <t>Userfriendly-interface for complex data modeling</t>
  </si>
  <si>
    <t>High-level integration with other advanced audit software</t>
  </si>
  <si>
    <t>Limited ability to handle large volumes of data</t>
  </si>
  <si>
    <t>Which of the following is not a precaution when using CAATS?</t>
  </si>
  <si>
    <t>Identify all the important fields that need to be accessed from the system</t>
  </si>
  <si>
    <t>Correctly identify data to be audited</t>
  </si>
  <si>
    <t>Perform substantive testing as required.</t>
  </si>
  <si>
    <t>Running CAATs on a live production environment without prior testing</t>
  </si>
  <si>
    <t>In CaseWare IDEA software, what does the term (project) refer to?</t>
  </si>
  <si>
    <t>A set of financial statements being audited</t>
  </si>
  <si>
    <t>A collection of audit standards and guidelines</t>
  </si>
  <si>
    <t>An individual data analysis function</t>
  </si>
  <si>
    <t>A structured file that contains all related data, files, and analysis work</t>
  </si>
  <si>
    <t>Which of the following is not a valid tab of IDEA?</t>
  </si>
  <si>
    <t>Analysis</t>
  </si>
  <si>
    <t>Paid to Jyotsna ladies corner</t>
  </si>
  <si>
    <t>Smart Analyzer</t>
  </si>
  <si>
    <t>Paid to Mio Amore</t>
  </si>
  <si>
    <t>What is a primary reason for using CAATs in auditing?</t>
  </si>
  <si>
    <t>To efficiently analyze large volumes of data</t>
  </si>
  <si>
    <t>To eliminate the need for auditor judgment</t>
  </si>
  <si>
    <t>To completely replace manual audit procedures</t>
  </si>
  <si>
    <t>To avoid documenting audit findings</t>
  </si>
  <si>
    <t>Paid to Sharta Sahoo</t>
  </si>
  <si>
    <t>What is the correct steps to create a project?</t>
  </si>
  <si>
    <t>HOME TAB &gt; PROJECT &gt; CREATE</t>
  </si>
  <si>
    <t>FILE TAB &gt; CREATE &gt; PROJECT</t>
  </si>
  <si>
    <t>HOME TAB &gt; CREATE &gt; PROJECT</t>
  </si>
  <si>
    <t>FILE TAB &gt; PROJECT &gt; CREATE</t>
  </si>
  <si>
    <t>There are _________ types of Projects in IDEA.</t>
  </si>
  <si>
    <t>One</t>
  </si>
  <si>
    <t>Paid to Hata Pan Shop</t>
  </si>
  <si>
    <t>Which of following option to select to create a project in "My IDEA Document" folder?</t>
  </si>
  <si>
    <t>Default Project</t>
  </si>
  <si>
    <t>Managed Project</t>
  </si>
  <si>
    <t>Root Project</t>
  </si>
  <si>
    <t>Saved Project</t>
  </si>
  <si>
    <t>"Project Overview and Library are not available in a shared project in CaseWare IDEA." - True or False?</t>
  </si>
  <si>
    <t>Which one of following is not a valid extension of any of IDEA output object/file?</t>
  </si>
  <si>
    <t>.IMD</t>
  </si>
  <si>
    <t>.ILB</t>
  </si>
  <si>
    <t>.ISS</t>
  </si>
  <si>
    <t>.IRR</t>
  </si>
  <si>
    <t>Paid to Ramanth Mishra</t>
  </si>
  <si>
    <t>In which tab is the "Import" option is available in CaseWare IDEA?</t>
  </si>
  <si>
    <t>Paid to AMIYA RANJAN MUDULI</t>
  </si>
  <si>
    <t>What is the full form of ODBC?</t>
  </si>
  <si>
    <t>Open Database Connector</t>
  </si>
  <si>
    <t>Online Database Communication</t>
  </si>
  <si>
    <t>Open Database Connectivity</t>
  </si>
  <si>
    <t>Oracle Database Command</t>
  </si>
  <si>
    <t>Paid to Chhotu Kumar</t>
  </si>
  <si>
    <t>Is AS400 a valid format for import in CaseWare IDEA?</t>
  </si>
  <si>
    <t>YES</t>
  </si>
  <si>
    <t>NO</t>
  </si>
  <si>
    <t>Paid to SUNIL KUMAR JENA</t>
  </si>
  <si>
    <t>Which of the following types of data cannot be imported directly into CaseWare IDEA?</t>
  </si>
  <si>
    <t>Excel spreadsheets</t>
  </si>
  <si>
    <t>PDF documents</t>
  </si>
  <si>
    <t>Notepad files</t>
  </si>
  <si>
    <t>Word Documents</t>
  </si>
  <si>
    <t>What is "Control Total in IDEA?</t>
  </si>
  <si>
    <t>Last Line of a Database to view Total of fields.</t>
  </si>
  <si>
    <t>Report View of Summarization.</t>
  </si>
  <si>
    <t>A property of active Database to view total of a Field.</t>
  </si>
  <si>
    <t>Extraction that provides the total column of extracted database.</t>
  </si>
  <si>
    <t>Which of the following extract result in the same database like Autofilter of excel in IDEA?</t>
  </si>
  <si>
    <t>Right Click on any Record &gt; "Display All records Containing"</t>
  </si>
  <si>
    <t>Paid to Angel Book House</t>
  </si>
  <si>
    <t>Data Tab &gt; "Search Group"</t>
  </si>
  <si>
    <t>Database Property &gt; Criteria</t>
  </si>
  <si>
    <t>All of the Above.</t>
  </si>
  <si>
    <t>Paid to Gita press</t>
  </si>
  <si>
    <t>In CaseWare IDEA, which of the following is true regarding data import and export with Microsoft Access?</t>
  </si>
  <si>
    <t>You can import data from Microsoft Access but cannot export data directly to Microsoft Access.</t>
  </si>
  <si>
    <t>You can export data to Microsoft Access but cannot import data from Microsoft Access.</t>
  </si>
  <si>
    <t>Both importing and exporting data to and from Microsoft Access are supported.</t>
  </si>
  <si>
    <t>Neither importing data from Microsoft Access nor exporting data to Microsoft Access is supported.</t>
  </si>
  <si>
    <t>Can you export selected columns of a database from CaseWare IDEA?</t>
  </si>
  <si>
    <t>No, you can only export the entire database.</t>
  </si>
  <si>
    <t>Yes, you can export selected columns by choosing the appropriate options during export.</t>
  </si>
  <si>
    <t>Paid to Kalinga Cycle Store</t>
  </si>
  <si>
    <t>No, IDEA does not support exporting data.</t>
  </si>
  <si>
    <t>Yes, but only during export to an Excel format.</t>
  </si>
  <si>
    <t>In CaseWare IDEA, where can you track deleted databases?</t>
  </si>
  <si>
    <t>Data Management tab</t>
  </si>
  <si>
    <t>Paid to NEW DELHI SWEETS</t>
  </si>
  <si>
    <t>Project Overview</t>
  </si>
  <si>
    <t>History Property</t>
  </si>
  <si>
    <t>Report Reader</t>
  </si>
  <si>
    <t>In CaseWare IDEA, once records are sorted, you can revert to their original order using</t>
  </si>
  <si>
    <t>undo feature</t>
  </si>
  <si>
    <t>a unique identifier in database property, which can be used to restore the original order.</t>
  </si>
  <si>
    <t>the "Revert" option in the database toolbar to return to the original order.</t>
  </si>
  <si>
    <t>restore the original order using the "Sort Order" tab.</t>
  </si>
  <si>
    <t>In CaseWare IDEA, in which type of field does the "Search" option not work?</t>
  </si>
  <si>
    <t>Numerica</t>
  </si>
  <si>
    <t>It works on all types of fields</t>
  </si>
  <si>
    <t>Paid to SUSANTA KUMAR NANDA</t>
  </si>
  <si>
    <t>We can extract blank records from a database using "Gap Detection" in IDEA. - True or False?</t>
  </si>
  <si>
    <t>The extraction can be done in _________ different ways in IDEA.</t>
  </si>
  <si>
    <t>To find out all records from "Kolkata" city, which one of the following extraction can be applied?</t>
  </si>
  <si>
    <t>To append a new field in IDEA database, we can go to DATA tab.</t>
  </si>
  <si>
    <t>Which of the following window or interface can be used to write a function for direct extraction or appending fields?</t>
  </si>
  <si>
    <t>Equation Editor</t>
  </si>
  <si>
    <t>Expression Builder</t>
  </si>
  <si>
    <t>Formula Builder</t>
  </si>
  <si>
    <t>Script Editor</t>
  </si>
  <si>
    <t>Which of the following function can be used to extract only the numbers from the string "INV_26510"?</t>
  </si>
  <si>
    <t>FindOneOf()</t>
  </si>
  <si>
    <t>Precno()</t>
  </si>
  <si>
    <t>Similar Phrase()</t>
  </si>
  <si>
    <t>JustNumbers</t>
  </si>
  <si>
    <t>which symbol can be used as a function starter for custom functions in IDEA?</t>
  </si>
  <si>
    <t>To extract the records with highest sales amount of every product we can use _________ in IDEA.</t>
  </si>
  <si>
    <t>Top Records Extraction</t>
  </si>
  <si>
    <t>Summarization</t>
  </si>
  <si>
    <t>Visual Connector</t>
  </si>
  <si>
    <t>Something else</t>
  </si>
  <si>
    <t>To calculate the total value of transactions per month using a date field in CaseWare IDEA without creating any new field, which option is useful?</t>
  </si>
  <si>
    <t>Aging</t>
  </si>
  <si>
    <t>In the acronym Caseware IDEA, what does the "E" stand for?</t>
  </si>
  <si>
    <t>Extraction</t>
  </si>
  <si>
    <t>Exploration</t>
  </si>
  <si>
    <t>Examination</t>
  </si>
  <si>
    <t>Evaluation</t>
  </si>
  <si>
    <t>In CaseWare IDEA, how can Benford's Law be used to detect anomalies in a database?</t>
  </si>
  <si>
    <t>By comparing historical data trends with current financial data</t>
  </si>
  <si>
    <t>By identifying deviations from the expected frequency distribution of leading digits</t>
  </si>
  <si>
    <t>By assessing the growth rate of financial statements over multiple periods</t>
  </si>
  <si>
    <t>By analyzing the correlation between different financial metrics</t>
  </si>
  <si>
    <t>Which of the following digit is most likely to appear as the first digit in a dataset according to Benford's Law?</t>
  </si>
  <si>
    <t>Paid to Maa mangala ganguram</t>
  </si>
  <si>
    <t>What is the primary purpose of applying Benford's Law in an audit using CaseWare IDEA?</t>
  </si>
  <si>
    <t>To verify the accuracy of financial statements</t>
  </si>
  <si>
    <t>To detect possible fraudulent activity or errors in the data</t>
  </si>
  <si>
    <t>To ensure compliance with accounting standards</t>
  </si>
  <si>
    <t>To evaluate the performance of financial management</t>
  </si>
  <si>
    <t>Paid to School concern</t>
  </si>
  <si>
    <t>Which of the following best describes a dataset that conforms to Benford's Law?</t>
  </si>
  <si>
    <t>The first digits appear uniformly across all numbers</t>
  </si>
  <si>
    <t>Higher digits are more frequent as the first digit</t>
  </si>
  <si>
    <t>The frequency of first digits decreases logarithmically as the digits increase</t>
  </si>
  <si>
    <t>The frequency of first digits is equally distributed across all digits</t>
  </si>
  <si>
    <t>In which tab is the "Benford's Law" option is available in CaseWare IDEA?</t>
  </si>
  <si>
    <t>Non of the Above</t>
  </si>
  <si>
    <t>Paid to SRIYA SWATI CINE COMPLEX PVT LTD</t>
  </si>
  <si>
    <t>Which sampling method in CaseWare IDEA is best used when you want to ensure each unit in your dataset has an equal chance of being selected?</t>
  </si>
  <si>
    <t>Systematic Sampling</t>
  </si>
  <si>
    <t>Random Sampling</t>
  </si>
  <si>
    <t>Stratified Sampling</t>
  </si>
  <si>
    <t>Cluster Sampling</t>
  </si>
  <si>
    <t>In CaseWare IDEA, which sampling method involves selecting every nth item from a list after a random starting point?</t>
  </si>
  <si>
    <t>Paid to SUVENDU KUMAR JENA</t>
  </si>
  <si>
    <t>When using the Stratified Sampling method in CaseWare IDEA, how does the software ensure that the sample is representative of different sub-groups within the data?</t>
  </si>
  <si>
    <t>By dividing the population into sub-groups and sampling proportionally from each</t>
  </si>
  <si>
    <t>By randomly selecting a sample from the entire dataset</t>
  </si>
  <si>
    <t>By selecting every nth item from each sub-group</t>
  </si>
  <si>
    <t>By clustering the data and sampling entire clusters</t>
  </si>
  <si>
    <t>In CaseWare IDEA, when using Indexed Extraction, which of the following statements is true regarding extracting records based on numeric ranges?</t>
  </si>
  <si>
    <t>You can directly extract records where a numeric field value is between two specified numbers, but you cannot use a "Not Between" condition.</t>
  </si>
  <si>
    <t>Paid to 1 Bake shop</t>
  </si>
  <si>
    <t>You can use both "Between" and "Not Between" conditions directly in Indexed Extraction.</t>
  </si>
  <si>
    <t>Indexed Extraction supports only "Not Between" conditions for numeric ranges, but not "Between" conditions.</t>
  </si>
  <si>
    <t>Indexed Extraction allows "Between" conditions but requires custom scripting for "Not Between" conditions.</t>
  </si>
  <si>
    <t>What is the primary purpose of the "Aging" function in CaseWare IDEA?</t>
  </si>
  <si>
    <t>To calculate the time elapsed since a record was last updated</t>
  </si>
  <si>
    <t>To categorize transactions or balances into different periods</t>
  </si>
  <si>
    <t>To assess the accuracy of transaction amounts by comparing them with historical data</t>
  </si>
  <si>
    <t>To automate the process of updating records with new data</t>
  </si>
  <si>
    <t>When using the "Aging" function in CaseWare IDEA, what is typically required as an input?</t>
  </si>
  <si>
    <t>A date field to determine the aging periods</t>
  </si>
  <si>
    <t>A list of predefined aging categories</t>
  </si>
  <si>
    <t>A set of data transformation rules</t>
  </si>
  <si>
    <t>An external database connection</t>
  </si>
  <si>
    <t>What does the @REVERSE() function do in CaseWare IDEA?</t>
  </si>
  <si>
    <t>It sorts the data in descending order.</t>
  </si>
  <si>
    <t>It removes duplicate records from the dataset.</t>
  </si>
  <si>
    <t>Reverses the order of characters in a string.</t>
  </si>
  <si>
    <t>It reverses the order of records in a dataset.</t>
  </si>
  <si>
    <t>What is the recognizable date format used in CaseWare IDEA?</t>
  </si>
  <si>
    <t>DD/MM/YYYY</t>
  </si>
  <si>
    <t>MMDDYYYY</t>
  </si>
  <si>
    <t>DDMMYYYY</t>
  </si>
  <si>
    <t>YYYYMMDD</t>
  </si>
  <si>
    <t>What is the concatenation operator used in CaseWare IDEA?</t>
  </si>
  <si>
    <t>+</t>
  </si>
  <si>
    <t>What will be the result of the function GETAT(PAN, 4) in CaseWare IDEA, where PAN represents a string or text field?</t>
  </si>
  <si>
    <t>The first 4 characters of PAN</t>
  </si>
  <si>
    <t>The 4th character of PAN</t>
  </si>
  <si>
    <t>The last 4 characters of PAN</t>
  </si>
  <si>
    <t>The substring from the 4th character to the end of PAN</t>
  </si>
  <si>
    <t>Paid to Swarnaprava Lenka</t>
  </si>
  <si>
    <t>In CaseWare IDEA, what would be the result of the expression @BETWEEN(salary, 10000, 20000) = 0 in append field?</t>
  </si>
  <si>
    <t>It returns True if the salary is between 10,000 and 20,000</t>
  </si>
  <si>
    <t>It returns True if the salary is not between 10,000 and 20,000.</t>
  </si>
  <si>
    <t>It returns the count of records where salary is between 10,000 and 20,000.</t>
  </si>
  <si>
    <t>It returns the sum of salary values between 10,000 and 20,000.</t>
  </si>
  <si>
    <t>Paid to SWETA AND SMRUTI TIFFIN STALL</t>
  </si>
  <si>
    <t>To concatenate two IDEA databases into one database, which option should be used in CaseWare IDEA?</t>
  </si>
  <si>
    <t>Merge</t>
  </si>
  <si>
    <t>Append</t>
  </si>
  <si>
    <t>Paid to Ajit Kumar Nayak</t>
  </si>
  <si>
    <t>Compare</t>
  </si>
  <si>
    <t>In CaseWare IDEA, which of the following options can be used to determine the change in the value of individual assets from the previous year?</t>
  </si>
  <si>
    <t>Trend Analysis</t>
  </si>
  <si>
    <t>Paid to ******5065</t>
  </si>
  <si>
    <t>Which of the following is not a valid operation in CaseWare IDEA?</t>
  </si>
  <si>
    <t>Filtering records</t>
  </si>
  <si>
    <t>Generating random sample</t>
  </si>
  <si>
    <t>Visualizing data with pie charts</t>
  </si>
  <si>
    <t>Performing real-time web scraping</t>
  </si>
  <si>
    <t>What is the short cut key to "Validate and Exit" the Equation Editor window in IDEA?</t>
  </si>
  <si>
    <t>Paid to ******9095</t>
  </si>
  <si>
    <t>Ctrl+E</t>
  </si>
  <si>
    <t>Ctrl+V</t>
  </si>
  <si>
    <t>Ctrl + U</t>
  </si>
  <si>
    <t>Ctrl+F</t>
  </si>
  <si>
    <t>Paid to MD SERAJ</t>
  </si>
  <si>
    <t>Which of the following is NOT a type of join available in IDEA?</t>
  </si>
  <si>
    <t>Inner join</t>
  </si>
  <si>
    <t>Outer join</t>
  </si>
  <si>
    <t>Left join</t>
  </si>
  <si>
    <t>Cross join</t>
  </si>
  <si>
    <t>Paid to OMM MAA STICKER GALLERY</t>
  </si>
  <si>
    <t>In the context of key value extraction, what does the term “key” refer to?</t>
  </si>
  <si>
    <t>A new index created on one or more fields to find unique values</t>
  </si>
  <si>
    <t>The primary key of the data set</t>
  </si>
  <si>
    <t>A field to specify the physical sorting order position of a record</t>
  </si>
  <si>
    <t>The common field between 2 databases that are in use duing extraction</t>
  </si>
  <si>
    <t>During stratifying a date field in IDEA, which one of the following options is not available?</t>
  </si>
  <si>
    <t>Week</t>
  </si>
  <si>
    <t>Quarter</t>
  </si>
  <si>
    <t>Year</t>
  </si>
  <si>
    <t>In IDEA, using the Quick Summarization option, which of the following statements is correct ?</t>
  </si>
  <si>
    <t>You can summarize multiple fields simultaneously.</t>
  </si>
  <si>
    <t>You can only summarize a single field.</t>
  </si>
  <si>
    <t>You can only summarize fields that contain numeric data.</t>
  </si>
  <si>
    <t>Quick Summarization is not available for date fields.</t>
  </si>
  <si>
    <t>How many types of joining options are available in IDEA?</t>
  </si>
  <si>
    <t>In CaseWare IDEA, the @STRIP() function works similarly to TRIM() function of Excel. -True or False?</t>
  </si>
  <si>
    <t>Paid to Dulladevi flour mill</t>
  </si>
  <si>
    <t>In IDEA @Len() Function can return the length of _________</t>
  </si>
  <si>
    <t>String Type of Field</t>
  </si>
  <si>
    <t>Number Type of Field</t>
  </si>
  <si>
    <t>Only String and Number</t>
  </si>
  <si>
    <t>All types of Field</t>
  </si>
  <si>
    <t>In CaseWare IDEA, which feature should you use to create multiple state-wise databases from a single database?</t>
  </si>
  <si>
    <t>Key Value Extraction</t>
  </si>
  <si>
    <t>Group Records</t>
  </si>
  <si>
    <t>SECTION: ZOHO</t>
  </si>
  <si>
    <t>Zoho</t>
  </si>
  <si>
    <t>Grouping Categorizes Records Based On Which Of The Following</t>
  </si>
  <si>
    <t>Value Of Any Field</t>
  </si>
  <si>
    <t>Value Of Only Lookup Fields</t>
  </si>
  <si>
    <t>Value Of Most Used Fields</t>
  </si>
  <si>
    <t>Value Of The Least Used Fields</t>
  </si>
  <si>
    <t>"Recurring Journal" Feature In Zoho Books</t>
  </si>
  <si>
    <t>To Record Fixed Asset Purchases</t>
  </si>
  <si>
    <t>Paid to Maa Cuttack chandi omfed</t>
  </si>
  <si>
    <t>To Automate Depreciation Over Time</t>
  </si>
  <si>
    <t>To Allocate Depreciation Over Time</t>
  </si>
  <si>
    <t>Inventory Tracking</t>
  </si>
  <si>
    <t>Creating Dashboard For Your Application Is Supported In _________</t>
  </si>
  <si>
    <t>List View</t>
  </si>
  <si>
    <t>Html View</t>
  </si>
  <si>
    <t>Grid View</t>
  </si>
  <si>
    <t>Script View</t>
  </si>
  <si>
    <t>Which Of These Is Not A Basic Field</t>
  </si>
  <si>
    <t>Email</t>
  </si>
  <si>
    <t>What Is The Purpose Of Importing Customer/Vendors In Bulk</t>
  </si>
  <si>
    <t>To Customize Transaction Templates</t>
  </si>
  <si>
    <t>Add Multiple Vendor Or Customer At Once</t>
  </si>
  <si>
    <t>To Record Asset Depreciation</t>
  </si>
  <si>
    <t>None Of The Above</t>
  </si>
  <si>
    <t>What Is The "Chart Of Accounts" In Zoho Books</t>
  </si>
  <si>
    <t>A List Of Clients All</t>
  </si>
  <si>
    <t>A List Of All Inventory Items</t>
  </si>
  <si>
    <t>A List Of All The Accounts Used In Accounting</t>
  </si>
  <si>
    <t>A List Of All Transactions</t>
  </si>
  <si>
    <t>Which Of The Following Can Be Automated Using Zoho Books</t>
  </si>
  <si>
    <t>Invoice Reminders</t>
  </si>
  <si>
    <t>Project Assignments</t>
  </si>
  <si>
    <t>Employee Payroll</t>
  </si>
  <si>
    <t>Customer Support Tickets</t>
  </si>
  <si>
    <t>Which Of This Is Not A Zoho Integration Program</t>
  </si>
  <si>
    <t>Zoho Reports</t>
  </si>
  <si>
    <t>Zoho Evolve</t>
  </si>
  <si>
    <t>Zoho Crm</t>
  </si>
  <si>
    <t>Zoho Invoice</t>
  </si>
  <si>
    <t>Which Of These Is Not A Zoho Schedule Type</t>
  </si>
  <si>
    <t>Custom</t>
  </si>
  <si>
    <t>What Is The Default Amount Of Records Created Shown In A Newly-Created Report In Zoho Book</t>
  </si>
  <si>
    <t>What Action Can Be Performed On Manual Journals In Zoho Books</t>
  </si>
  <si>
    <t>Deleting</t>
  </si>
  <si>
    <t>Printing</t>
  </si>
  <si>
    <t>All Of The Above</t>
  </si>
  <si>
    <t>In Zoho Book Where We Found General Ledger Option</t>
  </si>
  <si>
    <t>Balance Sheet</t>
  </si>
  <si>
    <t>Dashboard</t>
  </si>
  <si>
    <t>Chart Of Accounts</t>
  </si>
  <si>
    <t>Trial Balance</t>
  </si>
  <si>
    <t>Sortcuts Key To Enabled Credit Note In Zoho Book</t>
  </si>
  <si>
    <t>Alt+N</t>
  </si>
  <si>
    <t>Ctrl + N</t>
  </si>
  <si>
    <t>Shift +M</t>
  </si>
  <si>
    <t>Shift +N</t>
  </si>
  <si>
    <t>Sortcut Key To Go To Vendor</t>
  </si>
  <si>
    <t>Shift+7</t>
  </si>
  <si>
    <t>Alt+7</t>
  </si>
  <si>
    <t>Shift+5</t>
  </si>
  <si>
    <t>Ctrl + 5</t>
  </si>
  <si>
    <t>Paid to LAXMI NARAYAN STORE</t>
  </si>
  <si>
    <t>"Cloned" Option Used In Zoho Book _________</t>
  </si>
  <si>
    <t>When You Want To Export It</t>
  </si>
  <si>
    <t>When You Want To Delete Item</t>
  </si>
  <si>
    <t>To Mark Inactive</t>
  </si>
  <si>
    <t>Create New Item With Similar Details</t>
  </si>
  <si>
    <t>In Zoho Book How Can You Create A New Manual Journal</t>
  </si>
  <si>
    <t>Navigate Manual Journal Section And Select +"New Journal"</t>
  </si>
  <si>
    <t>Go To Dashboard And Click "Create Journal Entry"</t>
  </si>
  <si>
    <t>Access It Through The Sales Module</t>
  </si>
  <si>
    <t>Send An Email Request To Support</t>
  </si>
  <si>
    <t>How Can Existing User Access Zoho Book</t>
  </si>
  <si>
    <t>Sign Up For A Free Trial</t>
  </si>
  <si>
    <t>Log In To Their Account</t>
  </si>
  <si>
    <t>Migrate From Previous Software</t>
  </si>
  <si>
    <t>Configure Account Settings</t>
  </si>
  <si>
    <t>The Area Into Which User Enter Data Is Called _________</t>
  </si>
  <si>
    <t>A List</t>
  </si>
  <si>
    <t>A Form</t>
  </si>
  <si>
    <t>A Folder</t>
  </si>
  <si>
    <t>A Subset</t>
  </si>
  <si>
    <t>How Can User Manage Items In Zoho Book</t>
  </si>
  <si>
    <t>Importing Item And Price Lists</t>
  </si>
  <si>
    <t>Receiving Bank Feeds</t>
  </si>
  <si>
    <t>Creating Customer Profiles</t>
  </si>
  <si>
    <t>Recording Expenses</t>
  </si>
  <si>
    <t>How Can Customer And Vendors Be Added In Zoho Book</t>
  </si>
  <si>
    <t>"Sales" &gt; "Customers" And "Purchase" &gt; "Vendors"</t>
  </si>
  <si>
    <t>"Settings" &gt; "Templates"</t>
  </si>
  <si>
    <t>"Expenses" Module</t>
  </si>
  <si>
    <t>"Accountant" Tab</t>
  </si>
  <si>
    <t>Sortcuts Key To Enabled Debit Note In Zoho Book</t>
  </si>
  <si>
    <t>How Is Asset Depreciation Recorded In Zoho Book</t>
  </si>
  <si>
    <t>Through Recurring Journals</t>
  </si>
  <si>
    <t>Through Inventory Adjustments</t>
  </si>
  <si>
    <t>Through Price List</t>
  </si>
  <si>
    <t>Through Sales Transaction</t>
  </si>
  <si>
    <t>Which Report Provides A Summary Of Item Sales In An Organization</t>
  </si>
  <si>
    <t>Inventory Summary</t>
  </si>
  <si>
    <t>Purchase By Item</t>
  </si>
  <si>
    <t>Inventory Valuation Report</t>
  </si>
  <si>
    <t>Sales By Item</t>
  </si>
  <si>
    <t>Which Module In Zoho Books Allows You To Manage Your Contacts And Track Their Transactions</t>
  </si>
  <si>
    <t>Sales</t>
  </si>
  <si>
    <t>Purchase</t>
  </si>
  <si>
    <t>Contacts</t>
  </si>
  <si>
    <t>In Zoho Books, What Is The Purpose Of "Chart Of Accounts"?</t>
  </si>
  <si>
    <t>To Manage Customer Information</t>
  </si>
  <si>
    <t>To Track Inventory</t>
  </si>
  <si>
    <t>To Categorize Transactions</t>
  </si>
  <si>
    <t>To Generate Financial Reports</t>
  </si>
  <si>
    <t>Which Feature In Zoho Books Allows You To Set Up Automated Recurring Invoice</t>
  </si>
  <si>
    <t>Paid to SAKHILA BEGUM</t>
  </si>
  <si>
    <t>Projects</t>
  </si>
  <si>
    <t>Estimates</t>
  </si>
  <si>
    <t>Recurring Bills</t>
  </si>
  <si>
    <t>Sales Orders</t>
  </si>
  <si>
    <t>Which Section Of Zoho Books Allows User To Add New Employees</t>
  </si>
  <si>
    <t>Payroll Processing</t>
  </si>
  <si>
    <t>Payroll Management With Zoho Books</t>
  </si>
  <si>
    <t>Key Functions In Zoho Payroll</t>
  </si>
  <si>
    <t>Income Tax Calculation</t>
  </si>
  <si>
    <t>Which Module In Zoho Books Is Used For Processing Payments To Employees</t>
  </si>
  <si>
    <t>Banking</t>
  </si>
  <si>
    <t>Employees</t>
  </si>
  <si>
    <t>Payroll</t>
  </si>
  <si>
    <t>What Does The Horizontal Balance Sheet In Zoho Books Display</t>
  </si>
  <si>
    <t>Assets On The Left And Liabilities On The Right</t>
  </si>
  <si>
    <t>Expenses And Income Side-By-Side</t>
  </si>
  <si>
    <t>Cash Flow From Operating, Investing, And Financing Activities</t>
  </si>
  <si>
    <t>Movement Of Equity For A Specific Period</t>
  </si>
  <si>
    <t>In Which Section In Zoho Books Allows You To Customize The Look And Feel Of Your Invoice</t>
  </si>
  <si>
    <t>Settings</t>
  </si>
  <si>
    <t>What Is The Purpose Of "Aging Summary" Report In Zoho Books</t>
  </si>
  <si>
    <t>To Track The Performance Of Sales Representatives</t>
  </si>
  <si>
    <t>To Monitor Overdue Invoices</t>
  </si>
  <si>
    <t>To Analyze Expense Trends</t>
  </si>
  <si>
    <t>To Assess Inventory Turnover</t>
  </si>
  <si>
    <t>Which Payment Gateway Is Integrated With Zoho Books For Online Payments</t>
  </si>
  <si>
    <t>Paypal</t>
  </si>
  <si>
    <t>Stripe</t>
  </si>
  <si>
    <t>Square</t>
  </si>
  <si>
    <t>Venmo</t>
  </si>
  <si>
    <t>What Is The Maximum Number Of User Allowed In The Zoho Books Standard Plan</t>
  </si>
  <si>
    <t>Paid to GYANA RANJAN SWAIN</t>
  </si>
  <si>
    <t>Which Zoho Books Feature Allows You To Track Time Spent On Projects And Bill</t>
  </si>
  <si>
    <t>Timesheets</t>
  </si>
  <si>
    <t>Inventory</t>
  </si>
  <si>
    <t>Purchase Orders</t>
  </si>
  <si>
    <t>In Zoho Book What Is The Purpose Of The "Brs" Feature</t>
  </si>
  <si>
    <t>To Track Expenses</t>
  </si>
  <si>
    <t>To Reconcile Bank Transactions</t>
  </si>
  <si>
    <t>To Create Invoices</t>
  </si>
  <si>
    <t>To Generate Financial Statement</t>
  </si>
  <si>
    <t>Which Module In Zoho Books Allows You To Manage Your Inventory And Track Stock Levels</t>
  </si>
  <si>
    <t>Paid to ******4586</t>
  </si>
  <si>
    <t>Items</t>
  </si>
  <si>
    <t>Paid to ******1468</t>
  </si>
  <si>
    <t>What Feature In Zoho Inventory Allows To Automatically Reorder Products</t>
  </si>
  <si>
    <t>Stock Adjustment</t>
  </si>
  <si>
    <t>Inventory Optimization</t>
  </si>
  <si>
    <t>Stock Alert</t>
  </si>
  <si>
    <t>Reorder Point</t>
  </si>
  <si>
    <t>Which Module In Zoho Inventory Allows You To Track The Movement Of Goods From Suppliers To Your Warehouse</t>
  </si>
  <si>
    <t>Purchase Order</t>
  </si>
  <si>
    <t>Sales Order</t>
  </si>
  <si>
    <t>Invoices</t>
  </si>
  <si>
    <t>Which Feature In Zoho Inventory Helps Keep Track Of The COGS Accurately</t>
  </si>
  <si>
    <t>Stock Adjustments</t>
  </si>
  <si>
    <t>Cost Management</t>
  </si>
  <si>
    <t>Lifo</t>
  </si>
  <si>
    <t>Fifo</t>
  </si>
  <si>
    <t>Which Report In Zoho Inventory Provides Insights Into The Profitability Of Products</t>
  </si>
  <si>
    <t>Profit And Loss Statement</t>
  </si>
  <si>
    <t>Sales Report</t>
  </si>
  <si>
    <t>Paid to Souvik Mondal</t>
  </si>
  <si>
    <t>Sales Tax Report</t>
  </si>
  <si>
    <t>In Zoho Inventory, What Feature Allows You To Create Bundles/Kits Of Multiple Products</t>
  </si>
  <si>
    <t>Composite Items</t>
  </si>
  <si>
    <t>Batch Tracking</t>
  </si>
  <si>
    <t>Serialized Inventory</t>
  </si>
  <si>
    <t>Stock Transfer</t>
  </si>
  <si>
    <t>Which Module In Zoho Inventory Enables You To Track The Movement Of Goods From Your Warehouse To Customers</t>
  </si>
  <si>
    <t>Shipping Orders</t>
  </si>
  <si>
    <t>What Does The "Batch Tracking" Feature In Zoho Inventory Allow You To Do</t>
  </si>
  <si>
    <t>Track The Expiry Dates Of Products</t>
  </si>
  <si>
    <t>Manage Products With Unique Serial Numbers</t>
  </si>
  <si>
    <t>Track The Movement Of A Group Of Identical Products</t>
  </si>
  <si>
    <t>Monitor Real-Time Stock Levels</t>
  </si>
  <si>
    <t>Which Zoho Banking Module Is Used To Reconcile Transactions And Manage Bank Account</t>
  </si>
  <si>
    <t>Paid to SURENDRA MALIK</t>
  </si>
  <si>
    <t>Bank Reconciliation</t>
  </si>
  <si>
    <t>Expense Tracking</t>
  </si>
  <si>
    <t>Invoice Management</t>
  </si>
  <si>
    <t>Budgeting</t>
  </si>
  <si>
    <t>Paid to DHABA WALA</t>
  </si>
  <si>
    <t>Which Feature In Zoho Banking Allows You To Categorize Expenses And Track Spending</t>
  </si>
  <si>
    <t>Bank Feeds</t>
  </si>
  <si>
    <t>Expense Categories</t>
  </si>
  <si>
    <t>Transaction Tags</t>
  </si>
  <si>
    <t>Budget Allocation</t>
  </si>
  <si>
    <t>In Zoho Banking, What Feature Helps You Automatically Import Transactions From Your Bank Account</t>
  </si>
  <si>
    <t>Which Zoho Banking Feature Allows You To Create And Send Invoices To Customers</t>
  </si>
  <si>
    <t>Paid to Highway Service Centre</t>
  </si>
  <si>
    <t>In Zoho Banking, What Module Helps You Forecast And Allocate Funds For Various Expenses And Projects</t>
  </si>
  <si>
    <t>What Does The "Expense Tracking" Feature In Zoho Banking Allow You To Do</t>
  </si>
  <si>
    <t>Record And Categorize Expenses</t>
  </si>
  <si>
    <t>Reconcile Bank Transactions</t>
  </si>
  <si>
    <t>Create And Manage Customer Invoice</t>
  </si>
  <si>
    <t>Which Feature In Zoho Banking Helps You Maintain A Record Of All Financial Transactions</t>
  </si>
  <si>
    <t>Transaction History</t>
  </si>
  <si>
    <t>What Types Of Data Sources Can You Connect To In Zoho Reports</t>
  </si>
  <si>
    <t>Only Zoho Application</t>
  </si>
  <si>
    <t>Only Google Application</t>
  </si>
  <si>
    <t>Both Cloud And On-Premise Databases</t>
  </si>
  <si>
    <t>Only Microsoft Application</t>
  </si>
  <si>
    <t>Paid to EKART</t>
  </si>
  <si>
    <t>Which Of The Following Visualizations Is Not Available In Zoho Reports</t>
  </si>
  <si>
    <t>Bubble Chart</t>
  </si>
  <si>
    <t>Gauge Chart</t>
  </si>
  <si>
    <t>Treemap</t>
  </si>
  <si>
    <t>Paid to ******3252</t>
  </si>
  <si>
    <t>In Zoho Reports, What Is A Workspace</t>
  </si>
  <si>
    <t>A Physical Office Provided By Zoho For Report Creation</t>
  </si>
  <si>
    <t>A Virtual Space To Organize Reports, Dashboards And Data Sources</t>
  </si>
  <si>
    <t>A Storage Space For Large Datasets</t>
  </si>
  <si>
    <t>A Collaboration Tool For Team Communication</t>
  </si>
  <si>
    <t>Which Of The Following Zoho Products Integrates Seamlessly With Zoho Reports For Advanced Analytics</t>
  </si>
  <si>
    <t>Zoho Mail</t>
  </si>
  <si>
    <t>Zoho Project</t>
  </si>
  <si>
    <t>Zoho Writer</t>
  </si>
  <si>
    <t>What Is The Significance Of The "Closing Balance" In The Reconciliation Process</t>
  </si>
  <si>
    <t>It Should Match The Cleared Amount For A Balanced Reconciliation</t>
  </si>
  <si>
    <t>It Is Not Relevant To The Reconciliation Process</t>
  </si>
  <si>
    <t>It Represents The Total Revenue For The Period</t>
  </si>
  <si>
    <t>It Is The Sum Of All Expenses For The Period</t>
  </si>
  <si>
    <t>Which Module Allows You To Add Additional Details Or Attachments During Reconciliation</t>
  </si>
  <si>
    <t>Documents</t>
  </si>
  <si>
    <t>Inventory Transactions</t>
  </si>
  <si>
    <t>How Can You Undo A Reconciliation In Zoho Books</t>
  </si>
  <si>
    <t>Go To "Settings" And Select "Undo Reconciliation"</t>
  </si>
  <si>
    <t>Delete The Bank Account</t>
  </si>
  <si>
    <t>Click On "Revert Reconciliation"</t>
  </si>
  <si>
    <t>Re-Enter All Transactions Manually</t>
  </si>
  <si>
    <t>What Information Is Required To Start The Reconciliation Process</t>
  </si>
  <si>
    <t>Start Date, End Date, And Closing Balance</t>
  </si>
  <si>
    <t>Vendor Name And Purchase Order Number</t>
  </si>
  <si>
    <t>Customer Name And Sales Invoice Date</t>
  </si>
  <si>
    <t>Item Quantity And Rate</t>
  </si>
  <si>
    <t>How Do You Initiate The Reconciliation Process In Zoho Books</t>
  </si>
  <si>
    <t>Click On "Report" And Select "Balance Sheet"</t>
  </si>
  <si>
    <t>Access The "Inventory Transactions" Section</t>
  </si>
  <si>
    <t>Navigate To The "Banking" Module And Select The Account</t>
  </si>
  <si>
    <t>Go To "Sales Orders" And Create A New Order</t>
  </si>
  <si>
    <t>What Is The Purpose Of Bank Reconciliation In Zoho Books</t>
  </si>
  <si>
    <t>To Record Sales Transactions</t>
  </si>
  <si>
    <t>To Align Bank Account Transactions With Zoho Books Records</t>
  </si>
  <si>
    <t>To Calculate Liabilities</t>
  </si>
  <si>
    <t>To Track Employee Salaries</t>
  </si>
  <si>
    <t>What Is The Flagship Product Of Zoho Corporation</t>
  </si>
  <si>
    <t>Zoho Books</t>
  </si>
  <si>
    <t>Paid to ******6184</t>
  </si>
  <si>
    <t>Which Of The Following Is Not A Zoho Productivity Tool</t>
  </si>
  <si>
    <t>Zoho Sheet</t>
  </si>
  <si>
    <t>Zoho Show</t>
  </si>
  <si>
    <t>Zoho Code</t>
  </si>
  <si>
    <t>Zoho Creator Is Primarily Used For _________</t>
  </si>
  <si>
    <t>Project Management</t>
  </si>
  <si>
    <t>Customer Relationship Management</t>
  </si>
  <si>
    <t>App Development</t>
  </si>
  <si>
    <t>Email Marketing</t>
  </si>
  <si>
    <t>Zoho Meeting Is Used For _________</t>
  </si>
  <si>
    <t>Paid to ******3081</t>
  </si>
  <si>
    <t>Document Collaboration</t>
  </si>
  <si>
    <t>Video Conferencing</t>
  </si>
  <si>
    <t>Project Planning</t>
  </si>
  <si>
    <t>Task Management</t>
  </si>
  <si>
    <t>Paid to ******0262</t>
  </si>
  <si>
    <t>Which Zoho Application Is Used For Managing Human Resources</t>
  </si>
  <si>
    <t>Zoho People</t>
  </si>
  <si>
    <t>Zoho Inventory</t>
  </si>
  <si>
    <t>What Is The Cloud-Based Platform Offered By Zoho For Building And Managing Apps</t>
  </si>
  <si>
    <t>Zoho Creator</t>
  </si>
  <si>
    <t>Zoho Analytics</t>
  </si>
  <si>
    <t>Zoho Cliq</t>
  </si>
  <si>
    <t>Which Zoho Tool Is Designed For Email Marketing</t>
  </si>
  <si>
    <t>Zoho Campaigns</t>
  </si>
  <si>
    <t>Zoho Forms</t>
  </si>
  <si>
    <t>What Is The Name Of Zoho's Online Accounting Software</t>
  </si>
  <si>
    <t>Paid to ICICI Bank FASTag</t>
  </si>
  <si>
    <t>Which Zoho Tool Is Used For Online Document Collaboration</t>
  </si>
  <si>
    <t>Zoho Docs</t>
  </si>
  <si>
    <t>Zoho Survey</t>
  </si>
  <si>
    <t>What Is The Name Of Zoho's Online Presentation Tool</t>
  </si>
  <si>
    <t>Zoho Sign</t>
  </si>
  <si>
    <t>Zoho Assist Is Primarily Used For _________</t>
  </si>
  <si>
    <t>Remote Support And Access</t>
  </si>
  <si>
    <t>Website Analytics</t>
  </si>
  <si>
    <t>Which Of The Following Is Not A Feature Of Zoho Projects</t>
  </si>
  <si>
    <t>Gantt Charts</t>
  </si>
  <si>
    <t>Time Tracking</t>
  </si>
  <si>
    <t>Paid to Saha store</t>
  </si>
  <si>
    <t>Document Management</t>
  </si>
  <si>
    <t>What Does Zoho Projects Primarily Help With</t>
  </si>
  <si>
    <t>Paid to Patra Plastic House</t>
  </si>
  <si>
    <t>Accounting</t>
  </si>
  <si>
    <t>Social Media Management</t>
  </si>
  <si>
    <t>Paid to Bhola Grments</t>
  </si>
  <si>
    <t>What Is The Purpose Of Zoho Projects' Time Tracking Feature</t>
  </si>
  <si>
    <t>Managing Customer Contacts</t>
  </si>
  <si>
    <t>Tracking Project Progress</t>
  </si>
  <si>
    <t>Paid to Sukhom - Ruchika Market</t>
  </si>
  <si>
    <t>Billing Clients Accurately</t>
  </si>
  <si>
    <t>Managing Inventory</t>
  </si>
  <si>
    <t>Paid to PRAVEEN NX</t>
  </si>
  <si>
    <t>Paid to SHANKAR BEHERA</t>
  </si>
  <si>
    <t>Which Of The Following Is Not A Module Included In Zoho Basic</t>
  </si>
  <si>
    <t>Deals</t>
  </si>
  <si>
    <t>Paid to SAI SNACKS AND GROCERY</t>
  </si>
  <si>
    <t>What Is The Primary Function Of Zoho Books Basic</t>
  </si>
  <si>
    <t>Which Of The Following Features Is Included In Zoho Books Basic</t>
  </si>
  <si>
    <t>Inventory Management</t>
  </si>
  <si>
    <t>Lead Management</t>
  </si>
  <si>
    <t>Which Module In Zoho Books Allows Users To Track Expenses And Manage Vendor Payments</t>
  </si>
  <si>
    <t>Paid to Sital chicken pokoda</t>
  </si>
  <si>
    <t>Which Zoho Application Integrates Seamlessly With Zoho Books Basic For Managing Customer Payments</t>
  </si>
  <si>
    <t>Zoho Projects</t>
  </si>
  <si>
    <t>Zoho Subscriptions</t>
  </si>
  <si>
    <t>Paid to Omfed Booth 1351</t>
  </si>
  <si>
    <t>When Was Zoho Corporation Founded</t>
  </si>
  <si>
    <t>What Was The Original Name Of Zoho Corporation</t>
  </si>
  <si>
    <t>Zoho Technologies</t>
  </si>
  <si>
    <t>Paid to Satya Dahibara</t>
  </si>
  <si>
    <t>Adventnet</t>
  </si>
  <si>
    <t>Zenith Corporation</t>
  </si>
  <si>
    <t>Techzoho Solution</t>
  </si>
  <si>
    <t>Where Is The Headquarters Of Zoho Corporation Located</t>
  </si>
  <si>
    <t>Silicon Valley, USA</t>
  </si>
  <si>
    <t>Tokyo Japan</t>
  </si>
  <si>
    <t>Bangalore India</t>
  </si>
  <si>
    <t>London UK</t>
  </si>
  <si>
    <t>How Can You Track Expenses In Zoho Books</t>
  </si>
  <si>
    <t>By Entering Them Manually</t>
  </si>
  <si>
    <t>By Uploading Receipts</t>
  </si>
  <si>
    <t>By Connecting Bank Accounts</t>
  </si>
  <si>
    <t>What Does The 'Purchase Order' Feature In Zoho Books Help You Manage</t>
  </si>
  <si>
    <t>Sales Transactions</t>
  </si>
  <si>
    <t>Supplier Orders</t>
  </si>
  <si>
    <t>Customer Payments</t>
  </si>
  <si>
    <t>Inventory Levels</t>
  </si>
  <si>
    <t>Paid to Niteshsahoo 720</t>
  </si>
  <si>
    <t>Which Feature In Zoho Books Helps You Generate Financial Forecasts</t>
  </si>
  <si>
    <t>Cash Flow Statements</t>
  </si>
  <si>
    <t>Profit And Loss Report</t>
  </si>
  <si>
    <t>Inventory Valuation</t>
  </si>
  <si>
    <t>Which Of The Following Reports Is Specifically Used To Track The Financial Health Of A Business</t>
  </si>
  <si>
    <t>Inventory Report</t>
  </si>
  <si>
    <t>Time Log Report</t>
  </si>
  <si>
    <t>Expense Report</t>
  </si>
  <si>
    <t>When Was Zoho Books Officially Launched</t>
  </si>
  <si>
    <t>Which Company Developed Zoho Books</t>
  </si>
  <si>
    <t>Microsoft</t>
  </si>
  <si>
    <t>Salesforce</t>
  </si>
  <si>
    <t>Zoho Corporation</t>
  </si>
  <si>
    <t>Oracle</t>
  </si>
  <si>
    <t>Paid to ETC Toll Tag</t>
  </si>
  <si>
    <t>What Significant Update Did Zoho Books Receive In 2014</t>
  </si>
  <si>
    <t>Integration With Paypal</t>
  </si>
  <si>
    <t>Introduction Of Mobile Apps For iOS And Android</t>
  </si>
  <si>
    <t>Advance Tax Management</t>
  </si>
  <si>
    <t>Enhanced Project Management Tools</t>
  </si>
  <si>
    <t>Paid to Basudev Mohapatra</t>
  </si>
  <si>
    <t>In Which Year Did Zoho Books Add Support For Multicurrency Transactions</t>
  </si>
  <si>
    <t>Which Year Did Zoho Books First Include A Feature For Managing And Tracking Inventory</t>
  </si>
  <si>
    <t>What Was One Of The Primary Updates In Zoho Books In 2020</t>
  </si>
  <si>
    <t>Dark Mode</t>
  </si>
  <si>
    <t>Simplified Dashboard</t>
  </si>
  <si>
    <t>Mobile App</t>
  </si>
  <si>
    <t>Advanced Analytics</t>
  </si>
  <si>
    <t>What Was The Major Update To Zoho Books In 2016 At Inventory Section</t>
  </si>
  <si>
    <t>Items Groups And Bundles</t>
  </si>
  <si>
    <t>Automated Stock Replenishment</t>
  </si>
  <si>
    <t>Multi-Warehouse Management</t>
  </si>
  <si>
    <t>What Is The Default Currency Used In Zoho Books</t>
  </si>
  <si>
    <t>USD</t>
  </si>
  <si>
    <t>EUR</t>
  </si>
  <si>
    <t>GBP</t>
  </si>
  <si>
    <t>INR</t>
  </si>
  <si>
    <t>By Default, Which User Role Is Assigned The Highest Level Of Access In Zoho Books</t>
  </si>
  <si>
    <t>Standard User</t>
  </si>
  <si>
    <t>Accountant</t>
  </si>
  <si>
    <t>Admin</t>
  </si>
  <si>
    <t>Read Only User</t>
  </si>
  <si>
    <t>Which Default Ledger Account Is Used To Track Cash Transactions In Zoho Books</t>
  </si>
  <si>
    <t>Cash On Hand</t>
  </si>
  <si>
    <t>Bank Account</t>
  </si>
  <si>
    <t>Accounts Receivable</t>
  </si>
  <si>
    <t>Accounts Payable</t>
  </si>
  <si>
    <t>In Zoho Books, Which Default Ledger Is Set Up To Track The Payment Of Taxes On Sales</t>
  </si>
  <si>
    <t>Sales Tax</t>
  </si>
  <si>
    <t>VAT Payable</t>
  </si>
  <si>
    <t>GST Payable</t>
  </si>
  <si>
    <t>Income Tax</t>
  </si>
  <si>
    <t>Default Ledger Account For Recording The Depreciation Of Assets In Zoho Books</t>
  </si>
  <si>
    <t>Depreciation Expense</t>
  </si>
  <si>
    <t>Paid to FOOD FIESTA</t>
  </si>
  <si>
    <t>Accumulated Depreciation</t>
  </si>
  <si>
    <t>Fixed Assets</t>
  </si>
  <si>
    <t>Asset Expenses</t>
  </si>
  <si>
    <t>How Many Sets Of Default Ledger Accounts (Groups) In Zoho Books</t>
  </si>
  <si>
    <t>Paid to ******6310</t>
  </si>
  <si>
    <t>Paid to airtel</t>
  </si>
  <si>
    <t>Default Godown Name In Zoho Books</t>
  </si>
  <si>
    <t>Primary Warehouse</t>
  </si>
  <si>
    <t>Main Location</t>
  </si>
  <si>
    <t>Main Warehouse</t>
  </si>
  <si>
    <t>Main Godown</t>
  </si>
  <si>
    <t>SECTION: TALLY PRIME</t>
  </si>
  <si>
    <t>Tally Prime</t>
  </si>
  <si>
    <t>What is Tally?</t>
  </si>
  <si>
    <t>Accounting software</t>
  </si>
  <si>
    <t>Inventory management software</t>
  </si>
  <si>
    <t>Payroll management software</t>
  </si>
  <si>
    <t>Which of the following is a feature of Tally?</t>
  </si>
  <si>
    <t>Tax compliance</t>
  </si>
  <si>
    <t>Inventory management</t>
  </si>
  <si>
    <t>Which of the following is not a module in Tally?</t>
  </si>
  <si>
    <t>CRM</t>
  </si>
  <si>
    <t>What is the purpose of the "Voucher" feature in Tally?</t>
  </si>
  <si>
    <t>To create invoices</t>
  </si>
  <si>
    <t>Paid to Mr RAGHUNATH DALEI</t>
  </si>
  <si>
    <t>To record transactions</t>
  </si>
  <si>
    <t>To manage inventory</t>
  </si>
  <si>
    <t>Paid to ******4674</t>
  </si>
  <si>
    <t>Which of the following reports can be generated in Tally?</t>
  </si>
  <si>
    <t>Profit &amp; Loss Statement</t>
  </si>
  <si>
    <t>Cash Flow Statement</t>
  </si>
  <si>
    <t>Paid to LENSKART</t>
  </si>
  <si>
    <t>Can Tally be used for multi-company accounting?</t>
  </si>
  <si>
    <t>Yes</t>
  </si>
  <si>
    <t>No</t>
  </si>
  <si>
    <t>Maybe</t>
  </si>
  <si>
    <t>Not sure</t>
  </si>
  <si>
    <t>Paid to Bipin Das</t>
  </si>
  <si>
    <t>What is the purpose of the "Ledger" feature in Tally?</t>
  </si>
  <si>
    <t>To create accounts</t>
  </si>
  <si>
    <t>Paid to Mr Rama Gaud</t>
  </si>
  <si>
    <t>Can Tally be integrated with other software?</t>
  </si>
  <si>
    <t>What is the purpose of the "Stock Query" feature in Tally?</t>
  </si>
  <si>
    <t>To track inventory levels</t>
  </si>
  <si>
    <t>To manage orders</t>
  </si>
  <si>
    <t>Paid to Mr GAGAN MALLICK</t>
  </si>
  <si>
    <t>Can Tally be used for budgeting and forecasting?</t>
  </si>
  <si>
    <t>Paid to SARAT KUMAR BEHERA</t>
  </si>
  <si>
    <t>Can Tally be used for generating e-Way Bills?</t>
  </si>
  <si>
    <t>What is the purpose of the "Chart of Accounts" in Tally?</t>
  </si>
  <si>
    <t>To classify accounts</t>
  </si>
  <si>
    <t>Paid to JAGA DAKUA</t>
  </si>
  <si>
    <t>Total No of Voucher Type Available in Tally Prime?</t>
  </si>
  <si>
    <t>Which of the following accounting standards can be followed in Tally?</t>
  </si>
  <si>
    <t>GAAP(Generally Accepted Accounting Principles)</t>
  </si>
  <si>
    <t>IFRS(International Financial Reporting Standards)</t>
  </si>
  <si>
    <t>Ind AS(Indian Accounting Standard)</t>
  </si>
  <si>
    <t>Paid to Seshadev Behera</t>
  </si>
  <si>
    <t>Can Tally be used for maintaining multiple cost centers?</t>
  </si>
  <si>
    <t>What is the purpose of the "Debit Note" and "Credit Note" in Tally?</t>
  </si>
  <si>
    <t>To adjust accounts</t>
  </si>
  <si>
    <t>Paid to IRCTC</t>
  </si>
  <si>
    <t>What type of Stock Journal voucher is used to record the transfer of goods from one godown to another?</t>
  </si>
  <si>
    <t>Material In</t>
  </si>
  <si>
    <t>Material Out</t>
  </si>
  <si>
    <t>Stock Revaluation</t>
  </si>
  <si>
    <t>What is the correct treatment for Accounts Payable and Accounts Receivable in a company's balance sheet?</t>
  </si>
  <si>
    <t>Accounts Payable is an asset, and Accounts Receivable is a liability</t>
  </si>
  <si>
    <t>Accounts Payable is a liability, and Accounts Receivable is an asset</t>
  </si>
  <si>
    <t>Both Accounts Payable and Accounts Receivable are assets</t>
  </si>
  <si>
    <t>Both Accounts Payable and Accounts Receivable are liabilities</t>
  </si>
  <si>
    <t>What is the purpose of enabling "Bill-Wise Details" in the Accounts Payable or Accounts Receivable ledger?</t>
  </si>
  <si>
    <t>To track the payment history of individual bills</t>
  </si>
  <si>
    <t>To view the total outstanding balance of all bills</t>
  </si>
  <si>
    <t>To display the bill-wise details in the balance sheet</t>
  </si>
  <si>
    <t>To generate bills for customers or suppliers</t>
  </si>
  <si>
    <t>In Tally, what happens when you enable "Bill-wise Entry" in a Purchase voucher?</t>
  </si>
  <si>
    <t>The voucher will only allow entry of a single bill</t>
  </si>
  <si>
    <t>The voucher will automatically generate a payment entry</t>
  </si>
  <si>
    <t>The voucher will allow entry of multiple bills with their respective details</t>
  </si>
  <si>
    <t>The voucher will not allow entry of any bills</t>
  </si>
  <si>
    <t>Paid to DEBASISH SAHU</t>
  </si>
  <si>
    <t>In Tally, what happens when you enable "Bill-wise Entry" in a Payment voucher?</t>
  </si>
  <si>
    <t>The voucher will only allow payment against a single bill</t>
  </si>
  <si>
    <t>The voucher will automatically generate a purchase entry</t>
  </si>
  <si>
    <t>The voucher will allow payment against multiple bills with their respective details</t>
  </si>
  <si>
    <t>The voucher will not allow payment against any bills</t>
  </si>
  <si>
    <t>In Tally, what is the effect of using the "Bill-wise Entry" feature in a Payment voucher on the "Outstanding Bills" report?</t>
  </si>
  <si>
    <t>The report will not show any bills</t>
  </si>
  <si>
    <t>The report will show only fully paid bills</t>
  </si>
  <si>
    <t>The report will show partially paid bills with the outstanding amount</t>
  </si>
  <si>
    <t>The report will show all bills, including fully paid and outstanding bills</t>
  </si>
  <si>
    <t>What happens when you clear a bill in a Payment voucher using the "Bill-wise Entry" feature in Tally?</t>
  </si>
  <si>
    <t>The entire invoice amount will be cleared</t>
  </si>
  <si>
    <t>Only the payment amount will be cleared</t>
  </si>
  <si>
    <t>The bill will be marked as fully paid</t>
  </si>
  <si>
    <t>The bill will be deleted</t>
  </si>
  <si>
    <t>Which of the following statements is true regarding the alteration of a ledger master in Tally?</t>
  </si>
  <si>
    <t>Ledger masters can be altered only if there are no transactions associated with them</t>
  </si>
  <si>
    <t>Ledger masters can be altered at any time, regardless of transactions</t>
  </si>
  <si>
    <t>Ledger masters can be altered, but changes will only affect future transactions</t>
  </si>
  <si>
    <t>Ledger masters cannot be altered once created</t>
  </si>
  <si>
    <t>What happens when you delete a ledger master in Tally that has associated transactions</t>
  </si>
  <si>
    <t>The transactions will be automatically deleted</t>
  </si>
  <si>
    <t>The transactions will be retained, but the ledger master will be removed</t>
  </si>
  <si>
    <t>The deletion will be blocked, and a warning message will appear</t>
  </si>
  <si>
    <t>The ledger master will be deleted, but the transactions will be reassigned to a default ledger</t>
  </si>
  <si>
    <t>What happens when a customer's credit limit is exceeded in Tally?</t>
  </si>
  <si>
    <t>The transaction will be automatically posted</t>
  </si>
  <si>
    <t>A warning message will appear, but the transaction will be posted</t>
  </si>
  <si>
    <t>The transaction will be blocked, and a warning message will appear</t>
  </si>
  <si>
    <t>The credit limit will be automatically increased</t>
  </si>
  <si>
    <t>Which of the following reports in Tally displays the list of bills that are due for payment to suppliers?</t>
  </si>
  <si>
    <t>Bills Receivable Report</t>
  </si>
  <si>
    <t>Bills Payable Report</t>
  </si>
  <si>
    <t>Outstanding Payments Report</t>
  </si>
  <si>
    <t>Payment Due Report</t>
  </si>
  <si>
    <t>What information does the Bills Receivable Report in Tally typically display?</t>
  </si>
  <si>
    <t>List of bills paid to suppliers</t>
  </si>
  <si>
    <t>List of bills received from customers</t>
  </si>
  <si>
    <t>List of credit notes issued to customers</t>
  </si>
  <si>
    <t>List of debit notes received from suppliers</t>
  </si>
  <si>
    <t>Which of the following banking transactions can be recorded in Tally using the "Bank Entry" voucher type?</t>
  </si>
  <si>
    <t>Cheque deposit</t>
  </si>
  <si>
    <t>Paid to Balaram Digital Studio</t>
  </si>
  <si>
    <t>Cash withdrawal</t>
  </si>
  <si>
    <t>Bank transfer</t>
  </si>
  <si>
    <t>What is the purpose of reconciling a bank statement in Tally?</t>
  </si>
  <si>
    <t>To verify the accuracy of the company's cash balance</t>
  </si>
  <si>
    <t>To identify and correct discrepancies between the company's records and bank records</t>
  </si>
  <si>
    <t>To generate a bank statement for the company</t>
  </si>
  <si>
    <t>To transfer funds between bank accounts</t>
  </si>
  <si>
    <t>What is the primary benefit of using Auto Bank Reconciliation in Tally?</t>
  </si>
  <si>
    <t>Automatic posting of bank transactions</t>
  </si>
  <si>
    <t>Manual entry of bank statements</t>
  </si>
  <si>
    <t>Faster and accurate reconciliation of bank statements</t>
  </si>
  <si>
    <t>Generation of bank statements</t>
  </si>
  <si>
    <t>What is the purpose of configuring a Payment Gateway in a Merchant Profile in Tally?</t>
  </si>
  <si>
    <t>To enable offline payments</t>
  </si>
  <si>
    <t>To integrate with accounting software</t>
  </si>
  <si>
    <t>To facilitate online transactions and accept payments</t>
  </si>
  <si>
    <t>To manage inventory and stock levels</t>
  </si>
  <si>
    <t>In Tally, what is the purpose of using "Advance Reference" while creating a voucher?</t>
  </si>
  <si>
    <t>To link a voucher to a specific ledger account</t>
  </si>
  <si>
    <t>To assign a unique reference number to a voucher</t>
  </si>
  <si>
    <t>To connect a voucher to a related transaction or document</t>
  </si>
  <si>
    <t>To specify the voucher's date and time</t>
  </si>
  <si>
    <t>Paid to DEEPAK NAHAK</t>
  </si>
  <si>
    <t>What is the first step in creating a company in Tally?</t>
  </si>
  <si>
    <t>Creating a ledger account</t>
  </si>
  <si>
    <t>Setting up the accounting calendar</t>
  </si>
  <si>
    <t>Entering the company's basic details</t>
  </si>
  <si>
    <t>Configuring the tax rates</t>
  </si>
  <si>
    <t>What information is typically entered during the company creation process in Tally?</t>
  </si>
  <si>
    <t>Only company name and address</t>
  </si>
  <si>
    <t>Only financial year and accounting calendar</t>
  </si>
  <si>
    <t>Company name, address, financial year, and accounting calendar</t>
  </si>
  <si>
    <t>All of the above, plus tax rates and ledger accounts</t>
  </si>
  <si>
    <t>Which of the following masters can be created in Tally?</t>
  </si>
  <si>
    <t>Ledger master only</t>
  </si>
  <si>
    <t>Group master only</t>
  </si>
  <si>
    <t>Both ledger and group masters</t>
  </si>
  <si>
    <t>Neither ledger nor group masters</t>
  </si>
  <si>
    <t>Which of the following company features in Tally allows you to manage and track multiple currencies?</t>
  </si>
  <si>
    <t>Multi-Currency</t>
  </si>
  <si>
    <t>Forex Management</t>
  </si>
  <si>
    <t>Currency Exchange</t>
  </si>
  <si>
    <t>Global Financials</t>
  </si>
  <si>
    <t>What is the purpose of the "TallyVault" feature in Tally?</t>
  </si>
  <si>
    <t>To secure online transactions</t>
  </si>
  <si>
    <t>To encrypt company data</t>
  </si>
  <si>
    <t>To backup company data</t>
  </si>
  <si>
    <t>To protect company data from unauthorized access</t>
  </si>
  <si>
    <t>Is there any Default Cost Centre available In Tally?</t>
  </si>
  <si>
    <t>What is the primary purpose of creating a Cost Centre Class in Tally?</t>
  </si>
  <si>
    <t>To categorize ledger accounts</t>
  </si>
  <si>
    <t>To group cost centres for budgeting and tracking</t>
  </si>
  <si>
    <t>To classify transactions by type</t>
  </si>
  <si>
    <t>To set up user access rights</t>
  </si>
  <si>
    <t>How many default Ledgers are available in Tally?</t>
  </si>
  <si>
    <t>Which of the following methods of interest calculation is supported by Tally?</t>
  </si>
  <si>
    <t>Simple Interest only</t>
  </si>
  <si>
    <t>Compound Interest only</t>
  </si>
  <si>
    <t>Both Simple and Compound Interest</t>
  </si>
  <si>
    <t>Neither Simple nor Compound Interest</t>
  </si>
  <si>
    <t>Which of the following is a benefit of using Multi-Currency in Tally?</t>
  </si>
  <si>
    <t>Simplified tax calculations</t>
  </si>
  <si>
    <t>Enhanced security features</t>
  </si>
  <si>
    <t>Accurate foreign exchange gain/loss tracking</t>
  </si>
  <si>
    <t>Streamlined inventory management</t>
  </si>
  <si>
    <t>Which of the following is a step in the Bank Reconciliation process in Tally?</t>
  </si>
  <si>
    <t>Paid to ramachandra agrawal</t>
  </si>
  <si>
    <t>Comparing the bank statement with the cash book</t>
  </si>
  <si>
    <t>Adjusting the cash book to match the bank statement</t>
  </si>
  <si>
    <t>Identifying and correcting discrepancies</t>
  </si>
  <si>
    <t>What is the primary purpose of Bank Reconciliation in Tally?</t>
  </si>
  <si>
    <t>To verify the accuracy of ledger accounts</t>
  </si>
  <si>
    <t>To match company's bank statement with Tally's cash book</t>
  </si>
  <si>
    <t>To identify and correct discrepancies in cash transactions</t>
  </si>
  <si>
    <t>To generate the balance sheet</t>
  </si>
  <si>
    <t>Which of the following is a way to navigate reports in Tally?</t>
  </si>
  <si>
    <t>Using the "Go To" option</t>
  </si>
  <si>
    <t>Using the "View" option</t>
  </si>
  <si>
    <t>Using the "Reports" menu</t>
  </si>
  <si>
    <t>What is the purpose of the "F12: Configure" option in Tally reports?</t>
  </si>
  <si>
    <t>To print the report</t>
  </si>
  <si>
    <t>To export the report to Excel</t>
  </si>
  <si>
    <t>To customize the report layout and content</t>
  </si>
  <si>
    <t>To save the report as a PDF</t>
  </si>
  <si>
    <t>What does the Stock Summary report in Tally display?</t>
  </si>
  <si>
    <t>Detailed information about each stock item</t>
  </si>
  <si>
    <t>A summary of stock levels and values for all stock items</t>
  </si>
  <si>
    <t>A list of stock items that are below the minimum reorder level</t>
  </si>
  <si>
    <t>A list of stock items that are nearing expiration</t>
  </si>
  <si>
    <t>Paid to GANGURAM BROTHERS</t>
  </si>
  <si>
    <t>Default Godown in Tally?</t>
  </si>
  <si>
    <t>Primary Godown</t>
  </si>
  <si>
    <t>None of the Above</t>
  </si>
  <si>
    <t>How many types of measurement units can we create in tally?</t>
  </si>
  <si>
    <t>Which of the following is a benefit of Tally's ERP application?</t>
  </si>
  <si>
    <t>Manual data entry requirements</t>
  </si>
  <si>
    <t>Limited scalability</t>
  </si>
  <si>
    <t>Real-time visibility into business operations</t>
  </si>
  <si>
    <t>No customization options</t>
  </si>
  <si>
    <t>Which of the following is a benefit of Tally Prime's "Go To" feature?</t>
  </si>
  <si>
    <t>Enables quick access to specific reports and masters</t>
  </si>
  <si>
    <t>Allows only ledger-wise navigation</t>
  </si>
  <si>
    <t>Supports only basic reporting</t>
  </si>
  <si>
    <t>Paid to Mr SHAIK SALAM</t>
  </si>
  <si>
    <t>What is the purpose of the "Trial Balance" in Tally?</t>
  </si>
  <si>
    <t>To generate the profit and loss statement</t>
  </si>
  <si>
    <t>To create a new company</t>
  </si>
  <si>
    <t>What is the purpose of the "Inventory Management" module in Tally?</t>
  </si>
  <si>
    <t>To manage financial transactions</t>
  </si>
  <si>
    <t>To manage customer relationships</t>
  </si>
  <si>
    <t>To track and manage stock levels</t>
  </si>
  <si>
    <t>To generate payroll</t>
  </si>
  <si>
    <t>Which of the following is a benefit of using Tally's "Remote Access" feature?</t>
  </si>
  <si>
    <t>Access to Tally is restricted to a single location</t>
  </si>
  <si>
    <t>Increased risk of data loss and corruption</t>
  </si>
  <si>
    <t>Ability to access Tally from anywhere, at any time</t>
  </si>
  <si>
    <t>Limited to read-only access</t>
  </si>
  <si>
    <t>What is the purpose of the "Budgets and Scenarios" feature in Tally?</t>
  </si>
  <si>
    <t>To track actual financial performance</t>
  </si>
  <si>
    <t>To create and manage budgets and forecasts</t>
  </si>
  <si>
    <t>To generate financial reports</t>
  </si>
  <si>
    <t>To manage inventory levels</t>
  </si>
  <si>
    <t>Which of the following is a feature of Tally's "Security Control"?</t>
  </si>
  <si>
    <t>User-level access control</t>
  </si>
  <si>
    <t>Data encryption</t>
  </si>
  <si>
    <t>Audit trail</t>
  </si>
  <si>
    <t>Which of the following is a benefit of using Tally's "Data Backup and Restore" feature?</t>
  </si>
  <si>
    <t>Increased risk of data loss</t>
  </si>
  <si>
    <t>Manual backup process</t>
  </si>
  <si>
    <t>Paid to Chandan verity store</t>
  </si>
  <si>
    <t>Automatic backup and quick restore</t>
  </si>
  <si>
    <t>Limited to local backups only</t>
  </si>
  <si>
    <t>Which of the following is a benefit of using Tally's "Multi-Company" feature?</t>
  </si>
  <si>
    <t>Ability to manage only one company</t>
  </si>
  <si>
    <t>Ability to manage multiple companies with separate data</t>
  </si>
  <si>
    <t>Ability to manage multiple companies with shared data</t>
  </si>
  <si>
    <t>Ability to manage only related companies</t>
  </si>
  <si>
    <t>What is the purpose of Security Levels in Tally?</t>
  </si>
  <si>
    <t>To restrict access to specific features and data for any specific User</t>
  </si>
  <si>
    <t>To allow unlimited access to all features and data</t>
  </si>
  <si>
    <t>Paid to Bharti Airtel Limited</t>
  </si>
  <si>
    <t>To create customized reports and views</t>
  </si>
  <si>
    <t>To manage multiple companies and data</t>
  </si>
  <si>
    <t>What is the purpose of creating a Group Company in Tally?</t>
  </si>
  <si>
    <t>To manage multiple branches of a single company</t>
  </si>
  <si>
    <t>To manage multiple companies with separate financials</t>
  </si>
  <si>
    <t>To manage multiple departments within a company</t>
  </si>
  <si>
    <t>To manage multiple cost centers within a company</t>
  </si>
  <si>
    <t>Paid to ******1604</t>
  </si>
  <si>
    <t>Which of the following is a benefit of creating a Group Company in Tally?</t>
  </si>
  <si>
    <t>Limited flexibility in financial reporting</t>
  </si>
  <si>
    <t>Inability to share data between companies</t>
  </si>
  <si>
    <t>Ability to consolidate financials and perform inter-company transactions</t>
  </si>
  <si>
    <t>Increased complexity in financial management</t>
  </si>
  <si>
    <t>How do you create a Group Company in Tally?</t>
  </si>
  <si>
    <t>Paid to Mr BIJAYA KUMAR SHYANTI</t>
  </si>
  <si>
    <t>By creating a new company and selecting "Group Company" option</t>
  </si>
  <si>
    <t>By creating a new group and adding companies to it</t>
  </si>
  <si>
    <t>By converting an existing company to a Group Company</t>
  </si>
  <si>
    <t>By merging multiple companies into a single company</t>
  </si>
  <si>
    <t>What happens to the transactions recorded before the split date when using the Split Company Data feature in Tally?</t>
  </si>
  <si>
    <t>They are deleted</t>
  </si>
  <si>
    <t>They are moved to the new company</t>
  </si>
  <si>
    <t>They remain in the original company</t>
  </si>
  <si>
    <t>They are duplicated in both companies</t>
  </si>
  <si>
    <t>What is the purpose of the Split Company Data feature in Tally?</t>
  </si>
  <si>
    <t>To merge financial data of two companies</t>
  </si>
  <si>
    <t>To split financial data of a company into two separate companies</t>
  </si>
  <si>
    <t>To delete financial data of a company</t>
  </si>
  <si>
    <t>To create a backup of financial data</t>
  </si>
  <si>
    <t>Which of the following transactions requires an e-way bill to be generated?</t>
  </si>
  <si>
    <t>When goods worth 10,000 or more are transported</t>
  </si>
  <si>
    <t>When goods worth 50,000 or more are transported</t>
  </si>
  <si>
    <t>When goods are transported within the same city</t>
  </si>
  <si>
    <t>For all types of goods irrespective of value</t>
  </si>
  <si>
    <t>Which of the following entities are required to generate e-invoices as per the latest regulations?</t>
  </si>
  <si>
    <t>Businesses with annual turnover exceeding 50 crore</t>
  </si>
  <si>
    <t>Businesses with annual turnover exceeding 100 crore</t>
  </si>
  <si>
    <t>Businesses with annual turnover exceeding 5 crore</t>
  </si>
  <si>
    <t>All registered businesses</t>
  </si>
  <si>
    <t>What does the first two digits of GSTIN represent?</t>
  </si>
  <si>
    <t>PAN number</t>
  </si>
  <si>
    <t>State code</t>
  </si>
  <si>
    <t>Business type</t>
  </si>
  <si>
    <t>Legal entity</t>
  </si>
  <si>
    <t>What is the full form of API?</t>
  </si>
  <si>
    <t>Application Programming Interface</t>
  </si>
  <si>
    <t>Applied Programming Interface</t>
  </si>
  <si>
    <t>Advanced Programming Interface</t>
  </si>
  <si>
    <t>Automated Programming Interface</t>
  </si>
  <si>
    <t>Which of the following is the first step in configuring GST in Tally Prime?</t>
  </si>
  <si>
    <t>Create GST Ledgers</t>
  </si>
  <si>
    <t>Enable GST in Statutory Features</t>
  </si>
  <si>
    <t>Enter party details in vouchers</t>
  </si>
  <si>
    <t>Configure stock items</t>
  </si>
  <si>
    <t>When tax rates are defined at multiple levels, Tally applies tax rates as _________</t>
  </si>
  <si>
    <t>Transaction-Accounting Ledger-Accounting Group-Stock Items-Stock Group-Company</t>
  </si>
  <si>
    <t>Company-Stock Group-Stock Item-Accounting Group-Accounting Ledger-Transaction</t>
  </si>
  <si>
    <t>only from Company</t>
  </si>
  <si>
    <t>only from Accounting Ledger</t>
  </si>
  <si>
    <t>Paid to M S GUYS N GALS</t>
  </si>
  <si>
    <t>What is the order of ITC utilization for payment of IGST liability</t>
  </si>
  <si>
    <t>First IGST, then CGST, then SGST</t>
  </si>
  <si>
    <t>First CGST, then SGST, then IGST</t>
  </si>
  <si>
    <t>First SGST, then CGST, then IGST</t>
  </si>
  <si>
    <t>First IGST, then CGST and SGST in any order</t>
  </si>
  <si>
    <t>Which of the following conditions must be fulfilled to claim ITC?</t>
  </si>
  <si>
    <t>The tax invoice must be available, and the goods/services must be used for business purposes</t>
  </si>
  <si>
    <t>The goods/services must be used for personal consumption</t>
  </si>
  <si>
    <t>The goods must be resold immediately</t>
  </si>
  <si>
    <t>The invoice should be over 6 months old</t>
  </si>
  <si>
    <t>What is the primary purpose of the E-Way Bill system under GST?</t>
  </si>
  <si>
    <t>Paid to REENA DEVI</t>
  </si>
  <si>
    <t>To generate invoices</t>
  </si>
  <si>
    <t>To track the movement of goods</t>
  </si>
  <si>
    <t>To file GST returns</t>
  </si>
  <si>
    <t>To apply for GST registration</t>
  </si>
  <si>
    <t>Paid to Zudio IRC Z040</t>
  </si>
  <si>
    <t>What is the website for generating E-Way Bills?</t>
  </si>
  <si>
    <t>www.ewaybill.nic.in</t>
  </si>
  <si>
    <t>www.cbic.gov.in</t>
  </si>
  <si>
    <t>www.einvoicing.gov.in</t>
  </si>
  <si>
    <t>What is the full form of GSP in the context of GST?</t>
  </si>
  <si>
    <t>General Service Provider</t>
  </si>
  <si>
    <t>Government Service Provider</t>
  </si>
  <si>
    <t>GST Suvidha Provider</t>
  </si>
  <si>
    <t>Goods Service Provider</t>
  </si>
  <si>
    <t>Which of the following is NOT required for E-Way Bill generation?</t>
  </si>
  <si>
    <t>Invoice or Bill of Supply</t>
  </si>
  <si>
    <t>Transporter's ID</t>
  </si>
  <si>
    <t>HSN code of goods</t>
  </si>
  <si>
    <t>PAN of the supplier</t>
  </si>
  <si>
    <t>Which of the following ledgers needs to be created for recording GST in Tally Prime?</t>
  </si>
  <si>
    <t>Sales Ledger, Purchase Ledger, GST Ledger</t>
  </si>
  <si>
    <t>Capital Ledger, GST Ledger, Expense Ledger</t>
  </si>
  <si>
    <t>Only GST Ledger</t>
  </si>
  <si>
    <t>Only Sales Ledger</t>
  </si>
  <si>
    <t>Which type of ledger should be created to record tax on sales under GST in Tally Prime?</t>
  </si>
  <si>
    <t>Capital Account Ledger</t>
  </si>
  <si>
    <t>Expense Ledger</t>
  </si>
  <si>
    <t>Duties &amp; Taxes Ledger</t>
  </si>
  <si>
    <t>Sundry Debtors Ledger</t>
  </si>
  <si>
    <t>What is the Key Combination to change mode of Purchase Voucher</t>
  </si>
  <si>
    <t>Paid to ******1200</t>
  </si>
  <si>
    <t>Ctrl+M</t>
  </si>
  <si>
    <t>Ctrl+D</t>
  </si>
  <si>
    <t>Alt+A</t>
  </si>
  <si>
    <t>Key Combination to View tax Analysis Report in Purchase Voucher</t>
  </si>
  <si>
    <t>What happens if you select the GST ledger not applicable in Purchase in Tally Prime?</t>
  </si>
  <si>
    <t>Tally Prime will automatically apply the default rate</t>
  </si>
  <si>
    <t>The GST amount will not be calculated, and it will not reflect in GST reports</t>
  </si>
  <si>
    <t>Tally Prime will prompt you to select a rate</t>
  </si>
  <si>
    <t>The purchase transaction will be rejected</t>
  </si>
  <si>
    <t>You can add voucher from Day BOOK by pressing _________</t>
  </si>
  <si>
    <t>ALT+A</t>
  </si>
  <si>
    <t>ALT+I</t>
  </si>
  <si>
    <t>ALT+B</t>
  </si>
  <si>
    <t>ALT+G</t>
  </si>
  <si>
    <t>Which feature in Tally Prime allows you to control user access to various functions and data?</t>
  </si>
  <si>
    <t>Security Control</t>
  </si>
  <si>
    <t>Paid to GUPTA DIST. - BDA</t>
  </si>
  <si>
    <t>Data Synchronization</t>
  </si>
  <si>
    <t>Backup and restore</t>
  </si>
  <si>
    <t>In Tally Prime, what is required to set up user-level access control?</t>
  </si>
  <si>
    <t>Creating Company Backup</t>
  </si>
  <si>
    <t>Creating User Role</t>
  </si>
  <si>
    <t>Creating User</t>
  </si>
  <si>
    <t>Activating Password policy</t>
  </si>
  <si>
    <t>To record an adjustment or correction entry, which voucher type is typically used?</t>
  </si>
  <si>
    <t>Payment Voucher</t>
  </si>
  <si>
    <t>Journal Voucher</t>
  </si>
  <si>
    <t>Receipt Voucher</t>
  </si>
  <si>
    <t>Contra Voucher</t>
  </si>
  <si>
    <t>Paid to KANHA AND KIRTEEMAA</t>
  </si>
  <si>
    <t>How Many modes are available for Purchase Voucher</t>
  </si>
  <si>
    <t>What is the shortcut key to open the Debit Note voucher in Tally Prime?</t>
  </si>
  <si>
    <t>Alt+F9</t>
  </si>
  <si>
    <t>Ctrl+F8</t>
  </si>
  <si>
    <t>Alt+F5</t>
  </si>
  <si>
    <t>Alt+F6</t>
  </si>
  <si>
    <t>In Tally prime Debit Note Voucher is typically used to record _________</t>
  </si>
  <si>
    <t>Purchase Return</t>
  </si>
  <si>
    <t>Sales Return</t>
  </si>
  <si>
    <t>All of Above</t>
  </si>
  <si>
    <t>How does the "Check Credit Period" field affect the debtor's transactions in Tally Prime?</t>
  </si>
  <si>
    <t>It restricts the total amount that can be invoiced to the debtor</t>
  </si>
  <si>
    <t>It helps in calculating interest on overdue payments</t>
  </si>
  <si>
    <t>It sets the period within which payments should be made to avoid penalties</t>
  </si>
  <si>
    <t>It determines the credit period allowed before the invoice is flagged as overdue</t>
  </si>
  <si>
    <t>What does the "Preallocate Bills" feature in Tally Prime allow you to do?</t>
  </si>
  <si>
    <t>Predefine credit limits for customers</t>
  </si>
  <si>
    <t>Allocate payments or receipts against specific bills before recording transactions</t>
  </si>
  <si>
    <t>Automatically generate bills based on pre-defined parameters</t>
  </si>
  <si>
    <t>Adjust inventory levels based on transactions</t>
  </si>
  <si>
    <t>In Tally Prime, what must be configured before printing cheques?</t>
  </si>
  <si>
    <t>Company's Tax Rate</t>
  </si>
  <si>
    <t>The cheque printing format and layout</t>
  </si>
  <si>
    <t>Print Setup</t>
  </si>
  <si>
    <t>To create cheque printing templates</t>
  </si>
  <si>
    <t>Can I Print a Blank Check in Favour of Any vendor in Tally Prime</t>
  </si>
  <si>
    <t>only at the time of Statutory payment</t>
  </si>
  <si>
    <t>after adding TDL(Add on) features</t>
  </si>
  <si>
    <t>Paid to Konark Electronics and Electri</t>
  </si>
  <si>
    <t>Which of the following is the correct method to activate auto bank reconciliation</t>
  </si>
  <si>
    <t>Gateway of Tally &gt; Alter &gt; Ledger &gt; Select Set Enable Auto Reconciliation to Yes</t>
  </si>
  <si>
    <t>Gateway of Tally &gt; Banking</t>
  </si>
  <si>
    <t>Gateway of Tally &gt; Banking &gt; Reconcile Bank Account</t>
  </si>
  <si>
    <t>What is the primary purpose of enabling the Multi-Currency feature in Tally Prime?</t>
  </si>
  <si>
    <t>To manage multiple bank accounts</t>
  </si>
  <si>
    <t>To record and manage transactions in different currencies</t>
  </si>
  <si>
    <t>To calculate Exchange Gain/Loss</t>
  </si>
  <si>
    <t>both B &amp; C</t>
  </si>
  <si>
    <t>What is the function of the "Exchange Rate" in Multi-Currency transactions in Tally Prime?</t>
  </si>
  <si>
    <t>It sets the tax rate for foreign purchases</t>
  </si>
  <si>
    <t>It converts the value of transactions in foreign currency to base currency</t>
  </si>
  <si>
    <t>It adjusts the stock value</t>
  </si>
  <si>
    <t>Which of the following types of interest calculation methods are available in Tally Prime?</t>
  </si>
  <si>
    <t>Simple and Compound</t>
  </si>
  <si>
    <t>Fixed and Fluctuating</t>
  </si>
  <si>
    <t>Gross and Net</t>
  </si>
  <si>
    <t>Flat and Declining</t>
  </si>
  <si>
    <t>Which ledger should be enabled for interest calculation when creating a party account in Tally Prime?</t>
  </si>
  <si>
    <t>Sundry Debtors and Creditors Ledger</t>
  </si>
  <si>
    <t>Secured Loan Account</t>
  </si>
  <si>
    <t>SECTION: ORACLE FUSION</t>
  </si>
  <si>
    <t>Paid to ICAI EXAM</t>
  </si>
  <si>
    <t>Oracle Fusion</t>
  </si>
  <si>
    <t>Which Oracle Fusion Component Is Designed For Financial Management</t>
  </si>
  <si>
    <t>Hcm</t>
  </si>
  <si>
    <t>Crm</t>
  </si>
  <si>
    <t>Scm</t>
  </si>
  <si>
    <t>Financials</t>
  </si>
  <si>
    <t>Oracle Fusion Applications Are Built On Which Technology Stack</t>
  </si>
  <si>
    <t>On Premises Oracle Technology</t>
  </si>
  <si>
    <t>Cloud Based Architecture</t>
  </si>
  <si>
    <t>Legacy Oracle Technology</t>
  </si>
  <si>
    <t>Third Party Technology</t>
  </si>
  <si>
    <t>Oracle Fusion Crm Primarily Focuses On Which Area</t>
  </si>
  <si>
    <t>Financial Management</t>
  </si>
  <si>
    <t>Customer Relationships</t>
  </si>
  <si>
    <t>Supply Chain Logistics</t>
  </si>
  <si>
    <t>Human Resources</t>
  </si>
  <si>
    <t>In Oracle Fusion, Which Module Is Primarily Responsible For Managing The P2P Process</t>
  </si>
  <si>
    <t>Oracle Inventory</t>
  </si>
  <si>
    <t>Oracle Accounts Payable</t>
  </si>
  <si>
    <t>Oracle Purchasing</t>
  </si>
  <si>
    <t>Oracle Order Management</t>
  </si>
  <si>
    <t>In Oracle Fusion, Which Document Type Is Used To Formally Request The Purchase Of Goods Or Service</t>
  </si>
  <si>
    <t>Purchase Requisition</t>
  </si>
  <si>
    <t>Invoice</t>
  </si>
  <si>
    <t>Receipt</t>
  </si>
  <si>
    <t>In Oracle Fusion What Document Confirms The Receipt Of Goods Or Service</t>
  </si>
  <si>
    <t>What Does The Term "Three-Way Matching" Refer To In Oracle Fusion</t>
  </si>
  <si>
    <t>Matching Invoices With Purchase Orders And Payments</t>
  </si>
  <si>
    <t>Matching Purchase Orders With Receipts And Invoices</t>
  </si>
  <si>
    <t>Matching Purchase Requisitions With Purchase Orders And Receipts</t>
  </si>
  <si>
    <t>Matching Invoices With Purchase Orders And Suppliers</t>
  </si>
  <si>
    <t>In Oracle Fusion, What Is The Primary Function Of The "Invoice Validation" Process</t>
  </si>
  <si>
    <t>To Create Purchase Orders</t>
  </si>
  <si>
    <t>To Approve Payments To Suppliers</t>
  </si>
  <si>
    <t>To Ensure Invoices Match Purchase Orders And Receipts</t>
  </si>
  <si>
    <t>Paid to PRINCIPAL RAJDHANI COLL</t>
  </si>
  <si>
    <t>To Manage Supplier Contracts</t>
  </si>
  <si>
    <t>In Oracle Fusion, Which Types Of Purchase Order Allows For Flexible Delivery Dates And Quantities</t>
  </si>
  <si>
    <t>Standard Purchase Order</t>
  </si>
  <si>
    <t>Blanket Purchase Order</t>
  </si>
  <si>
    <t>Contract Purchase Order</t>
  </si>
  <si>
    <t>Service Purchase Order</t>
  </si>
  <si>
    <t>What Is The Role Of The "Receipt" Document In The Procure-To-Pay Process (P2P) In Oracle Fusion</t>
  </si>
  <si>
    <t>To Document Vendor Payments</t>
  </si>
  <si>
    <t>To Validate Invoice Amounts</t>
  </si>
  <si>
    <t>To Confirm The Delivery Of Purchased Goods</t>
  </si>
  <si>
    <t>To Generate Purchase Orders</t>
  </si>
  <si>
    <t>When Was Oracle Fusion Application First Announced</t>
  </si>
  <si>
    <t>Oracle Fusion Applications Were Developed As A Result Of The Merger Between Oracle And Which Other Company</t>
  </si>
  <si>
    <t>Siebel Systems</t>
  </si>
  <si>
    <t>Peoplesoft</t>
  </si>
  <si>
    <t>Jd Edwards</t>
  </si>
  <si>
    <t>Hyperion</t>
  </si>
  <si>
    <t>In Which Year Did Oracle Officially Release The First Version Of Oracle Fusion Application</t>
  </si>
  <si>
    <t>Which Key Technology Application Foundation标志Is Used For Oracle Fusion</t>
  </si>
  <si>
    <t>Oracle Database</t>
  </si>
  <si>
    <t>Oracle Cloud Infrastructure</t>
  </si>
  <si>
    <t>Oracle Weblogic Server</t>
  </si>
  <si>
    <t>Oracle Java</t>
  </si>
  <si>
    <t>Oracle Fusion Application Are Built On Which Cloud Model</t>
  </si>
  <si>
    <t>Private Cloud</t>
  </si>
  <si>
    <t>Public Cloud</t>
  </si>
  <si>
    <t>Hybrid Cloud</t>
  </si>
  <si>
    <t>On-Premises</t>
  </si>
  <si>
    <t>What Was One Of The Primary Goals For The Development Of Oracle Fusion Applications</t>
  </si>
  <si>
    <t>To Replace Oracle'S Hardware Systems</t>
  </si>
  <si>
    <t>To Integrate And Modernize Oracle'S Existing Erp Offerings</t>
  </si>
  <si>
    <t>To Introduce New Hardware Solutions</t>
  </si>
  <si>
    <t>To Eliminate The Need For Any Third-Party Application</t>
  </si>
  <si>
    <t>In Oracle Fusion, Which Document Is Generated After A Sales Order Is Confirmed And Before Shipping</t>
  </si>
  <si>
    <t>Sales Quote</t>
  </si>
  <si>
    <t>Shipping Document</t>
  </si>
  <si>
    <t>Which Document Is Issued To Correct A Billing Error Or Adjust The Amount Of A Previously Issued Invoice In Oracle Fusion</t>
  </si>
  <si>
    <t>Paid to SATYAM TRADERS</t>
  </si>
  <si>
    <t>Credit Memo</t>
  </si>
  <si>
    <t>Debit Memo</t>
  </si>
  <si>
    <t>Shipping Notice</t>
  </si>
  <si>
    <t>Which Module In Oracle Fusion Is Responsible For Managing Employee Data And Hr Processes</t>
  </si>
  <si>
    <t>Oracle Financial Services</t>
  </si>
  <si>
    <t>Oracle Human Capital Management</t>
  </si>
  <si>
    <t>Oracle Supply Chain Management</t>
  </si>
  <si>
    <t>Oracle Customer Experience</t>
  </si>
  <si>
    <t>Which Shortcut Key Combination In Oracle Fusion Opens The "Search" Dialog</t>
  </si>
  <si>
    <t>Alt+S</t>
  </si>
  <si>
    <t>What Does Pressing "Ctrl+N" Do In Oracle Fusion Application</t>
  </si>
  <si>
    <t>Opens The "New" Record Form</t>
  </si>
  <si>
    <t>Saves The Current Record</t>
  </si>
  <si>
    <t>Opens The "Search" Dialog</t>
  </si>
  <si>
    <t>Closes The Current Window</t>
  </si>
  <si>
    <t>What Is The Primary Purpose Of Auditing In Oracle Fusion Applications</t>
  </si>
  <si>
    <t>Performance Monitoring</t>
  </si>
  <si>
    <t>Security And Compliance</t>
  </si>
  <si>
    <t>Data Analysis</t>
  </si>
  <si>
    <t>User Training</t>
  </si>
  <si>
    <t>Which Module In Oracle Fusion Provides Audit Functionalities To Track Changes Made By User</t>
  </si>
  <si>
    <t>Oracle Fusion Financials</t>
  </si>
  <si>
    <t>Oracle Fusion Hcm</t>
  </si>
  <si>
    <t>Oracle Fusion Audit</t>
  </si>
  <si>
    <t>Oracle Fusion Procurement</t>
  </si>
  <si>
    <t>In Oracle Fusion, What Can You Audit Using The Audit Trail' Features</t>
  </si>
  <si>
    <t>System Performance</t>
  </si>
  <si>
    <t>User Login Attempts</t>
  </si>
  <si>
    <t>Data Changes And User Actions</t>
  </si>
  <si>
    <t>Network Traffic</t>
  </si>
  <si>
    <t>What Does The H2R Process In Oracle Fusion Stand For</t>
  </si>
  <si>
    <t>Hire Role</t>
  </si>
  <si>
    <t>Hire To Revenue</t>
  </si>
  <si>
    <t>Hire To Retire</t>
  </si>
  <si>
    <t>Hire To Recruitment</t>
  </si>
  <si>
    <t>Which Module In Oracle Fusion Manages The Entire Employee Lifecycle From Hiring To Retirement</t>
  </si>
  <si>
    <t>Oracle Fusion Payroll</t>
  </si>
  <si>
    <t>Oracle Fusion Human Capital Management(Hcm)</t>
  </si>
  <si>
    <t>What Does The O2C Process In Oracle Fusion Stand For</t>
  </si>
  <si>
    <t>Order To Cash</t>
  </si>
  <si>
    <t>Order To Credit</t>
  </si>
  <si>
    <t>Order To Collection</t>
  </si>
  <si>
    <t>Order To Customer</t>
  </si>
  <si>
    <t>What Is The Primary Purpose Of The 'Order Entry' Phase In The O2C Process</t>
  </si>
  <si>
    <t>To Process Payments</t>
  </si>
  <si>
    <t>To Create And Confirm Customer Orders</t>
  </si>
  <si>
    <t>To Handle Inventory Adjustments</t>
  </si>
  <si>
    <t>To Manage Supplier Relationships</t>
  </si>
  <si>
    <t>Which Oracle Fusion Module Is Used To Manage Inventory</t>
  </si>
  <si>
    <t>Oracle Fusion Order Management</t>
  </si>
  <si>
    <t>Oracle Fusion Inventory Management</t>
  </si>
  <si>
    <t>Oracle Fusion Accounts Receivable</t>
  </si>
  <si>
    <t>Which Phase Involves Managing And Applying Payments Received From Customers</t>
  </si>
  <si>
    <t>Order Fulfillment</t>
  </si>
  <si>
    <t>Invoice Generation</t>
  </si>
  <si>
    <t>Payment Collection</t>
  </si>
  <si>
    <t>Credit Management</t>
  </si>
  <si>
    <t>Which Module In Oracle Fusion Is Used For Managing Financial Transactions</t>
  </si>
  <si>
    <t>Fusion Hcm</t>
  </si>
  <si>
    <t>Fusion Crm</t>
  </si>
  <si>
    <t>Fusion Financials</t>
  </si>
  <si>
    <t>Fusion Scm</t>
  </si>
  <si>
    <t>What Is The Primary Purpose Of Oracle Fusion Project Portfolio Management</t>
  </si>
  <si>
    <t>To Manage Customer Relationships</t>
  </si>
  <si>
    <t>To Oversee Financial Transactions</t>
  </si>
  <si>
    <t>To Handle Projects And Portfolios</t>
  </si>
  <si>
    <t>To Manage Human Resources</t>
  </si>
  <si>
    <t>In Oracle Fusion, What Does The P2P Process Primarily Involve</t>
  </si>
  <si>
    <t>Sales Order Management</t>
  </si>
  <si>
    <t>Procurement And Payment Processing</t>
  </si>
  <si>
    <t>Human Resources Management</t>
  </si>
  <si>
    <t>Financial Reporting</t>
  </si>
  <si>
    <t>Which Module In Oracle Fusion Is Used To Manage Purchase Orders</t>
  </si>
  <si>
    <t>Fusion Procurement</t>
  </si>
  <si>
    <t>Fusion Supply Chain Management</t>
  </si>
  <si>
    <t>Fusion Human Capital Management</t>
  </si>
  <si>
    <t>Paid to WWW AIRTEL IN</t>
  </si>
  <si>
    <t>What Is The First Steps In The P2P Process In Oracle Fusion</t>
  </si>
  <si>
    <t>Receive Goods</t>
  </si>
  <si>
    <t>Make Payment</t>
  </si>
  <si>
    <t>Create A Purchase Order</t>
  </si>
  <si>
    <t>Create An Invoice</t>
  </si>
  <si>
    <t>What Is Oracle Fusion Application Primarily Known For</t>
  </si>
  <si>
    <t>Social Media Integration</t>
  </si>
  <si>
    <t>Enterprise Resource Planning(Erp) And Cloud Based Application</t>
  </si>
  <si>
    <t>Mobile App Development</t>
  </si>
  <si>
    <t>Database Management Only</t>
  </si>
  <si>
    <t>In Oracle Fusion, Which Module Is Used To Manage Customer Interactions And Sales</t>
  </si>
  <si>
    <t>Which Document Is Used In Oracle Fusion Inventory To Record The Receipt Of Goods</t>
  </si>
  <si>
    <t>Goods Receipt</t>
  </si>
  <si>
    <t>Which Module In Oracle Fusion Inventory Is Used To Manage Inventory Adjustments</t>
  </si>
  <si>
    <t>Inventory Control</t>
  </si>
  <si>
    <t>Inventory Adjustments</t>
  </si>
  <si>
    <t>Which Functionality In Oracle Fusion Inventory Helps With Managing Inventory At Multiple Locations</t>
  </si>
  <si>
    <t>Multi-Location Inventory Management</t>
  </si>
  <si>
    <t>Global Financial Management</t>
  </si>
  <si>
    <t>Human Capital Management</t>
  </si>
  <si>
    <t>Sales Forecasting</t>
  </si>
  <si>
    <t>Paid to raghunath rana</t>
  </si>
  <si>
    <t>Paid to Radhe Shyam Medical Store</t>
  </si>
  <si>
    <t>Paid to RAJA KISHOR NAYAK</t>
  </si>
  <si>
    <t>Paid to Ranjan Gift Store</t>
  </si>
  <si>
    <t>Paid to Shree Sai store</t>
  </si>
  <si>
    <t>Paid to Sanjaya Kumar Dash</t>
  </si>
  <si>
    <t>Paid to SARASWATI STORE</t>
  </si>
  <si>
    <t>Paid to Ramesh Kumar Barik</t>
  </si>
  <si>
    <t>Paid to Omm Sairam Sandwich Corner</t>
  </si>
  <si>
    <t>Paid to Jayashree cloth store</t>
  </si>
  <si>
    <t>Paid to Mahalxmi Bhandar</t>
  </si>
  <si>
    <t>Paid to BMC</t>
  </si>
  <si>
    <t>Paid to AIRTEL PAYMENTS BANK LIMITED</t>
  </si>
  <si>
    <t>Paid to MAA DURGA BANGLE STORE</t>
  </si>
  <si>
    <t>Paid to Shyam Sundar Pradhan</t>
  </si>
  <si>
    <t>Paid to RABETUN BIBI</t>
  </si>
  <si>
    <t>Paid to Maa dakhinakali hotel</t>
  </si>
  <si>
    <t>Paid to BALABHADRA MOHAPATRA</t>
  </si>
  <si>
    <t>Paid to SURESH CHANDRA SAHOO</t>
  </si>
  <si>
    <t>Paid to Choudhuri v t store</t>
  </si>
  <si>
    <t>Paid to UMAKANT SAHU</t>
  </si>
  <si>
    <t>Paid to Tapoban Filling Station</t>
  </si>
  <si>
    <t>Paid to Maa Mangala Dahibara</t>
  </si>
  <si>
    <t>Paid to BDC DIGIPHOTO IMAGING SOLUTIONS PVT</t>
  </si>
  <si>
    <t>Paid to MAHAVEER GENERAL STORE</t>
  </si>
  <si>
    <t>Paid to SAMRAT HOTEL</t>
  </si>
  <si>
    <t>Paid to SATYABRATA PATRA</t>
  </si>
  <si>
    <t>Paid to VENUS SNACKS</t>
  </si>
  <si>
    <t>Paid to ******3751</t>
  </si>
  <si>
    <t>Paid to Mr SHAKTI PRASAD NA</t>
  </si>
  <si>
    <t>Paid to LIPU BETTLE SHOP</t>
  </si>
  <si>
    <t>Paid to P Aloka Patra</t>
  </si>
  <si>
    <t>Paid to DEEPAK KUMAR KHUNTIA</t>
  </si>
  <si>
    <t>Paid to ******1328</t>
  </si>
  <si>
    <t>Paid to PHYSICSWALLAH PRIVATE LIMITED</t>
  </si>
  <si>
    <t>Paid to JIOMART</t>
  </si>
  <si>
    <t>Paid to DEEGANT RAJ BEHERA</t>
  </si>
  <si>
    <t>Paid to AJIT KUMAR HATI</t>
  </si>
  <si>
    <t>Paid to Jay Shree Juice Centre</t>
  </si>
  <si>
    <t>Paid to LAXMI GROCERY SHOP</t>
  </si>
  <si>
    <t>Paid to Niranjan Mahalik</t>
  </si>
  <si>
    <t>Paid to ******2338</t>
  </si>
  <si>
    <t>Paid to subrat nayak</t>
  </si>
  <si>
    <t>Paid to SHREE BALAJEE BHOJANALAYA</t>
  </si>
  <si>
    <t>Paid to DEVI PRUSTY</t>
  </si>
  <si>
    <t>Paid to ******8972</t>
  </si>
  <si>
    <t>Paid to SUBHRAKANTA SINGH</t>
  </si>
  <si>
    <t>Paid</t>
  </si>
  <si>
    <t>Paid to M S MAA SARALA VARIETY STORE</t>
  </si>
  <si>
    <t>Paid to Tapan kumar ray</t>
  </si>
  <si>
    <t>Paid to Utkal Enterprise</t>
  </si>
  <si>
    <t>Paid to KM HARDWARE AND PAINTS</t>
  </si>
  <si>
    <t>Paid to Amazon Pay Insurance</t>
  </si>
  <si>
    <t>Paid to Zomato Ltd</t>
  </si>
  <si>
    <t>Paid to Maa DakhinaKali Hotel</t>
  </si>
  <si>
    <t>Paid to Riwaaz</t>
  </si>
  <si>
    <t>Paid to AASTIK HOSPITALITY PRIVATE LIMITED 3</t>
  </si>
  <si>
    <t>Paid to SUPRIYA JUICE &amp; SNACKS</t>
  </si>
  <si>
    <t>Paid to JIO MART B2C</t>
  </si>
  <si>
    <t>Paid to ******2380</t>
  </si>
  <si>
    <t>Paid to Rishav Mohanty</t>
  </si>
  <si>
    <t>Paid to Mrs GEETANJALI BARIK</t>
  </si>
  <si>
    <t>Paid to BALARAM SAHOO</t>
  </si>
  <si>
    <t>Paid to HOTEL VENUS</t>
  </si>
  <si>
    <t>Paid to Vidya mandir</t>
  </si>
  <si>
    <t>Paid to RISHAV MOHANTY</t>
  </si>
  <si>
    <t>Paid to Konark electricals 2</t>
  </si>
  <si>
    <t>Paid to nanda3ptyes</t>
  </si>
  <si>
    <t>Paid to Amazon Pay on Delivery</t>
  </si>
  <si>
    <t>Paid to ******2286</t>
  </si>
  <si>
    <t>Paid to CHHOTU GUPCHUP STALL</t>
  </si>
  <si>
    <t>Paid to DHARASHREE PRIYADARSHINI</t>
  </si>
  <si>
    <t>Paid to REBATI HATI</t>
  </si>
  <si>
    <t>Paid to sarojini rout</t>
  </si>
  <si>
    <t>Paid to RAHIL GLASS HOUSE</t>
  </si>
  <si>
    <t>Paid to Mahalaxmi SANITARY</t>
  </si>
  <si>
    <t>Paid to MRITYUNJAY KUMAR</t>
  </si>
  <si>
    <t>Paid to RAJAT</t>
  </si>
  <si>
    <t>Paid to USHA OPTICALS PROP USHA SHARMA</t>
  </si>
  <si>
    <t>Paid to Srikrishna Medicine Store</t>
  </si>
  <si>
    <t>Paid to Deepak Special Gupchup</t>
  </si>
  <si>
    <t>Paid to Pramod Gupchup &amp; chat</t>
  </si>
  <si>
    <t>Paid to ROUT TOUR AND TRAVEL (BASANTA ROUT)</t>
  </si>
  <si>
    <t>Paid to Omfed Booth 1717</t>
  </si>
  <si>
    <t>Paid to ******9837</t>
  </si>
  <si>
    <t>Paid to Indian Railways</t>
  </si>
  <si>
    <t>Paid to Subham Photo Binding</t>
  </si>
  <si>
    <t>Paid to RELIANCE SMART</t>
  </si>
  <si>
    <t>Paid to THE COSMETICS</t>
  </si>
  <si>
    <t>Paid to sisir Kumar Badajena</t>
  </si>
  <si>
    <t>Paid to MINARANI ROUT</t>
  </si>
  <si>
    <t>Paid to ******3865</t>
  </si>
  <si>
    <t>Paid to SK_DRUG_HOUSE_</t>
  </si>
  <si>
    <t>Paid to VARENYAS- FOURPETAL</t>
  </si>
  <si>
    <t>Paid to NYABRATA SWAIN</t>
  </si>
  <si>
    <t>Paid to SANDIP KUMAR MOHANTY</t>
  </si>
  <si>
    <t>Paid to BBSR-MADHUSUDAN NAGAR</t>
  </si>
  <si>
    <t>Paid to HUNGER STOP</t>
  </si>
  <si>
    <t>Paid to Mast mast fastfood</t>
  </si>
  <si>
    <t>Paid to ******6600</t>
  </si>
  <si>
    <t>Paid to R S R ASSOCIATES</t>
  </si>
  <si>
    <t>Paid to UTKAL BUILDERS LTD</t>
  </si>
  <si>
    <t>Paid to Laxmi Grocery Shop 3</t>
  </si>
  <si>
    <t>Paid to BHARATI SAHOO</t>
  </si>
  <si>
    <t>Paid to Sweetest burger and biryani</t>
  </si>
  <si>
    <t>Paid to JAGATI PLASTIC SHOP</t>
  </si>
  <si>
    <t>Paid to ******1009</t>
  </si>
  <si>
    <t>Paid to Maa mangala atakala</t>
  </si>
  <si>
    <t>Paid to samir martha</t>
  </si>
  <si>
    <t>Paid to AKASHKUMAR DUGAL</t>
  </si>
  <si>
    <t>Paid to EGG SHOP</t>
  </si>
  <si>
    <t>Paid to Mr KRUSHNA PRAKASH PATTNAIK</t>
  </si>
  <si>
    <t>Paid to PRADHAN HOMOEO</t>
  </si>
  <si>
    <t>Paid to Niharika Biswal</t>
  </si>
  <si>
    <t>Paid to Snehalata Upadhyaya</t>
  </si>
  <si>
    <t>Paid to Rajani Malik</t>
  </si>
  <si>
    <t>Paid to SHUBH JEWELLERS</t>
  </si>
  <si>
    <t>Paid to Baba Lingaraj Lassi &amp; Juice</t>
  </si>
  <si>
    <t>Paid to Happy Electronics</t>
  </si>
  <si>
    <t>Paid to Lenka plastic</t>
  </si>
  <si>
    <t>Paid to ******1896</t>
  </si>
  <si>
    <t>Paid to Somanath Motors</t>
  </si>
  <si>
    <t>Paid to ******9709</t>
  </si>
  <si>
    <t>Paid to Maa Tarini Plastic</t>
  </si>
  <si>
    <t>Paid to Manas puja Store</t>
  </si>
  <si>
    <t>Paid to ABINASH STORE</t>
  </si>
  <si>
    <t>Paid to Ganesh Mallick</t>
  </si>
  <si>
    <t>Paid to MAA TARINI TYARE</t>
  </si>
  <si>
    <t>Paid to ******9030</t>
  </si>
  <si>
    <t>Paid to PRASANTA KUMAR SAHOO</t>
  </si>
  <si>
    <t>Paid to Cover world</t>
  </si>
  <si>
    <t>Paid to ******5868</t>
  </si>
  <si>
    <t>Paid to Deepak special chaat</t>
  </si>
  <si>
    <t>Paid to Prativa Variety Store</t>
  </si>
  <si>
    <t>Paid to BIKASH CHANDRA NAYAK</t>
  </si>
  <si>
    <t>Paid to DR RAMAKRISHNA TRIPATHY</t>
  </si>
  <si>
    <t>Paid to Akshaya Kumar Naik</t>
  </si>
  <si>
    <t>Paid to Lite Bite Foods Private Limited</t>
  </si>
  <si>
    <t>Paid to HINDUSTAN AGENCIES BHUBANE GHZLSAA2</t>
  </si>
  <si>
    <t>Paid to TARANG ELECTRICAL</t>
  </si>
  <si>
    <t>Paid to Fruit Shop</t>
  </si>
  <si>
    <t>Paid to Rajesh kumar sahoo</t>
  </si>
  <si>
    <t>Paid to IRCTC Retiring Rooms</t>
  </si>
  <si>
    <t>Paid to Veer pratap singh</t>
  </si>
  <si>
    <t>Paid to SAVITRI MATERIAL SUPPLIER</t>
  </si>
  <si>
    <t>Paid to Sangeeta Pandey</t>
  </si>
  <si>
    <t>Paid to ******1451</t>
  </si>
  <si>
    <t>Paid to ATUL PAREVA</t>
  </si>
  <si>
    <t>Paid to Krishna caters</t>
  </si>
  <si>
    <t>Paid to HOTEL AVANTIKA</t>
  </si>
  <si>
    <t>Paid to Ashok Kumar</t>
  </si>
  <si>
    <t>Paid to ANIKESH GUPTA</t>
  </si>
  <si>
    <t>Paid to Asoka Lodge</t>
  </si>
  <si>
    <t>Paid to Quick Eats L</t>
  </si>
  <si>
    <t>Paid to TELANGANA STATE ROAD TRANSPORT CORPORATION</t>
  </si>
  <si>
    <t>Paid to USHAKIRON MOVIES PVT LTD TOURISM DIVISION</t>
  </si>
  <si>
    <t>Paid to M S DOLPHIN HOTELS PRIVATE LIMITED</t>
  </si>
  <si>
    <t>Paid to RAILWAY STATION</t>
  </si>
  <si>
    <t>Paid to BHAGAVATAM CAFE</t>
  </si>
  <si>
    <t>Paid to Hyderabad Metro</t>
  </si>
  <si>
    <t>Paid to Sree Venkata Surya Enterprises Hotel Swathi</t>
  </si>
  <si>
    <t>Paid to S.RAVI</t>
  </si>
  <si>
    <t>Paid to SNOW WORLD</t>
  </si>
  <si>
    <t>Paid to THE SNACK AND COFFEE BAR</t>
  </si>
  <si>
    <t>Paid to OMICA TRENDS BANGLESH store</t>
  </si>
  <si>
    <t>Paid to vadde shathamma</t>
  </si>
  <si>
    <t>Paid to HOTEL SHADAB</t>
  </si>
  <si>
    <t>Paid to NICE PAN SHOP</t>
  </si>
  <si>
    <t>Paid to ARCHAEOLOGICAL SURVEY OF INDIA</t>
  </si>
  <si>
    <t>Paid to FERDOUZ KHAN</t>
  </si>
  <si>
    <t>Paid to Mohammed Sarfaraz Ullah</t>
  </si>
  <si>
    <t>Paid to Tea shop</t>
  </si>
  <si>
    <t>Paid to SHAIK RAFIUDDIN</t>
  </si>
  <si>
    <t>Paid to DEVI DELUXE MESS</t>
  </si>
  <si>
    <t>Paid to Hotel swathi</t>
  </si>
  <si>
    <t>Paid to MS SANTOSH DABHA EXCLUSIVE</t>
  </si>
  <si>
    <t>Paid to JAWAHAR TEA MART</t>
  </si>
  <si>
    <t>Paid to SOURABH SINGH SHRIWAS</t>
  </si>
  <si>
    <t>Paid to GADDAM MANIKANTA</t>
  </si>
  <si>
    <t>Paid to RR HOTEL PAD</t>
  </si>
  <si>
    <t>Paid to ******3362</t>
  </si>
  <si>
    <t>Paid to NIZAM KHAN</t>
  </si>
  <si>
    <t>Paid to KERALA STATE ROAD TRANSPORT CORPORATION</t>
  </si>
  <si>
    <t>Paid to MATHAN SELVAM</t>
  </si>
  <si>
    <t>Paid to TAMILNADU STATE TRANSPORT CORPORATION TIRUNELVELI</t>
  </si>
  <si>
    <t>Paid to EBINESH PAUL PAULRAJ</t>
  </si>
  <si>
    <t>Paid to Saheer P</t>
  </si>
  <si>
    <t>Paid to Hotel Annapoorna</t>
  </si>
  <si>
    <t>Paid to TRIKA POLYMERS</t>
  </si>
  <si>
    <t>Paid to Pilgrim Centre Devasthanam Lodge</t>
  </si>
  <si>
    <t>Paid to Food Track</t>
  </si>
  <si>
    <t>Paid to Indian Railways UTS</t>
  </si>
  <si>
    <t>Paid to Mrs Anitha Pushparaj</t>
  </si>
  <si>
    <t>Paid to THE TAMILNADU RESTAURANT</t>
  </si>
  <si>
    <t>Paid to Jeya rahul nongu kadai</t>
  </si>
  <si>
    <t>Paid to HOTEL CHITRA</t>
  </si>
  <si>
    <t>Paid to Mrs Arockia Aswini Selvaraj</t>
  </si>
  <si>
    <t>Paid to VIVEKANANDA ROCK MEMORIAL AND V K</t>
  </si>
  <si>
    <t>Paid to Hotel Athena</t>
  </si>
  <si>
    <t>Paid to Poompuhar Shipping Corporation Ltd</t>
  </si>
  <si>
    <t>Paid to VIVEKANANDA KENDRA</t>
  </si>
  <si>
    <t>Paid to Game</t>
  </si>
  <si>
    <t>Paid to KOVALAM OORATCHI ALAVILANA KOOTAMAIPPU</t>
  </si>
  <si>
    <t>Paid to SHANMUGASUNDARAM KRISHNAMOORTHY</t>
  </si>
  <si>
    <t>Paid to ADMON BEAK</t>
  </si>
  <si>
    <t>Paid to DAMODHARAN A.R</t>
  </si>
  <si>
    <t>Paid to SUN MOTOR PARTS</t>
  </si>
  <si>
    <t>Paid to RELAXATION MASSAGE CHAIR LOUNGE</t>
  </si>
  <si>
    <t>Paid to selvi</t>
  </si>
  <si>
    <t>Paid to Sakthi Hotel 1</t>
  </si>
  <si>
    <t>Paid to Milk Stall 3</t>
  </si>
  <si>
    <t>Paid to Rahulsingh Baudh</t>
  </si>
  <si>
    <t>Paid to K DURGA</t>
  </si>
  <si>
    <t>Paid to APSRTC</t>
  </si>
  <si>
    <t>Paid to PADMA SRIMANTHALA</t>
  </si>
  <si>
    <t>Paid to Naveen photos</t>
  </si>
  <si>
    <t>Paid to NEW SRI SURYA MEDICAL</t>
  </si>
  <si>
    <t>Paid to TPTY PF NO 2&amp;3 PAK SIDE</t>
  </si>
  <si>
    <t>Paid to MODULER CATERING STALL</t>
  </si>
  <si>
    <t>Paid to A P TOURISM DEVELOPMENT CORPORATION LTD</t>
  </si>
  <si>
    <t>Paid to SOUNDARAPANDIAN V</t>
  </si>
  <si>
    <t>Paid to ZOO CAFE STALL</t>
  </si>
  <si>
    <t>Paid to CHENNAI SNAKE PARK TRUST</t>
  </si>
  <si>
    <t>Paid to ROCKINATH J</t>
  </si>
  <si>
    <t>Paid to Chennai Metro Rail Limited</t>
  </si>
  <si>
    <t>Paid to Hotel Shiva Sagar Walltax</t>
  </si>
  <si>
    <t>Paid to RAJESH S</t>
  </si>
  <si>
    <t>Paid to GEMINI LODGE</t>
  </si>
  <si>
    <t>Paid to GOVINDA RAO PUPPALA</t>
  </si>
  <si>
    <t>Paid to MAHADEV ENTERPRISES</t>
  </si>
  <si>
    <t>Paid to MONDI GANGA PRIYA</t>
  </si>
  <si>
    <t>Paid to KRISHNAM RAMKRSHNA</t>
  </si>
  <si>
    <t>Paid to BODDU SUBRAHMANYAM</t>
  </si>
  <si>
    <t>Paid to PANDIT RAJASTHANI</t>
  </si>
  <si>
    <t>Paid to Bharat Cafe</t>
  </si>
  <si>
    <t>Paid to Rajasthan Sharma Bhojanalaya</t>
  </si>
  <si>
    <t>Paid to TESTY</t>
  </si>
  <si>
    <t>Paid to MAA DAKHINAKALI PUJA DOKAN</t>
  </si>
  <si>
    <t>Paid to SBIMOPS</t>
  </si>
  <si>
    <t>Paid to AMIT KUMAR SAHOO</t>
  </si>
  <si>
    <t>Paid to SUSANTA BEHERA</t>
  </si>
  <si>
    <t>Paid to DHANANJAYA PRADHAN</t>
  </si>
  <si>
    <t>Paid to Bhalu Alu Shop</t>
  </si>
  <si>
    <t>Paid to KEDAR NATH PATRA</t>
  </si>
  <si>
    <t>Paid to Sarala pollution center</t>
  </si>
  <si>
    <t>Paid to Jana ausadhi kendra</t>
  </si>
  <si>
    <t>Paid to Jogivai Dahibaraaludam</t>
  </si>
  <si>
    <t>Paid to MALAYA BETTELE SHOP 1</t>
  </si>
  <si>
    <t>Paid to AK MISHRA AGENCY WHOLESALE</t>
  </si>
  <si>
    <t>Paid to ABDUL HAMID</t>
  </si>
  <si>
    <t>Paid to TATA AIG GENERAL INSURANCE COMPANY LIMITED</t>
  </si>
  <si>
    <t>Paid to MEDPLUS RUCHIKA MARKET</t>
  </si>
  <si>
    <t>Paid to Nilima Pradhan</t>
  </si>
  <si>
    <t>Paid to ZAIKEDAR DHABA A U O VANSHK AND H PVT LTD</t>
  </si>
  <si>
    <t>Paid to DAS TEA STALL</t>
  </si>
  <si>
    <t>Paid to Akshaya Behera</t>
  </si>
  <si>
    <t>Paid to MAMATAJ BEGAM</t>
  </si>
  <si>
    <t>Paid to Mohammed Fayaz</t>
  </si>
  <si>
    <t>Paid to DURGA BHANDAR</t>
  </si>
  <si>
    <t>Paid to Odisha State Tax Internet Collection Ac</t>
  </si>
  <si>
    <t>Paid to bookmyshow</t>
  </si>
  <si>
    <t>Paid to CAPITAL BOOK DEPOT</t>
  </si>
  <si>
    <t>Paid to Sai Puja Restaurant</t>
  </si>
  <si>
    <t>Paid to SK SAKIR ALLI</t>
  </si>
  <si>
    <t>Paid to GOURANG SAMAL</t>
  </si>
  <si>
    <t>Paid to Tapan Kumar Sahoo</t>
  </si>
  <si>
    <t>Paid to K D MOBILES AND WAT</t>
  </si>
  <si>
    <t>Paid to PHYSICSWALLAH</t>
  </si>
  <si>
    <t>Paid to CA POINT</t>
  </si>
  <si>
    <t>Paid to JAYASHREE CLOTH STORE</t>
  </si>
  <si>
    <t>Paid to Swarna Ahar</t>
  </si>
  <si>
    <t>Paid to Pradhan Mantri Bharatiya Janaushadhi Kendra</t>
  </si>
  <si>
    <t>Paid to ZOMATO LIMITED</t>
  </si>
  <si>
    <t>Paid to MAA GOURI GENARAL STORE</t>
  </si>
  <si>
    <t>Paid to M S S S SWEETS AND SNACKS</t>
  </si>
  <si>
    <t>Paid to samal bus</t>
  </si>
  <si>
    <t>Paid to RUCHIKA MARKET</t>
  </si>
  <si>
    <t>Paid to Amulya bettle shop</t>
  </si>
  <si>
    <t>Paid to ZOMATO</t>
  </si>
  <si>
    <t>Paid to DEEPAK DILDAR CHAAT</t>
  </si>
  <si>
    <t>Paid to Taste Of Kolkata By Bonny</t>
  </si>
  <si>
    <t>Paid to Babuna</t>
  </si>
  <si>
    <t>Paid to Surya Narayan Samantaray</t>
  </si>
  <si>
    <t>Paid to Aswini Kumar Das</t>
  </si>
  <si>
    <t>Paid to RINKI PRUSTY</t>
  </si>
  <si>
    <t>Paid to Bijayalaxmi Puja Shop</t>
  </si>
  <si>
    <t>Paid to MOHINI FOOD PRODUCTS</t>
  </si>
  <si>
    <t>Bill paid - Electricity</t>
  </si>
  <si>
    <t>Paid to SHADOWFAX TECHNOLOGIES PRIVATE LIMITED</t>
  </si>
  <si>
    <t>Paid to Md mustak</t>
  </si>
  <si>
    <t>Paid to RELIANCE DIGITAL</t>
  </si>
  <si>
    <t>Paid to GRAMODYDGA SALES DEPOT</t>
  </si>
  <si>
    <t>Paid to Bhambra Service center</t>
  </si>
  <si>
    <t>Paid to MAHARAJA OPOLFED AND FASTFOOD</t>
  </si>
  <si>
    <t>Paid to BBSR-JAGAMARA</t>
  </si>
  <si>
    <t>Paid to ANJAN KUMAR DAS</t>
  </si>
  <si>
    <t>Paid to UNITED INDIA INSURANCE DQR260103</t>
  </si>
  <si>
    <t>Paid to WEB UPI</t>
  </si>
  <si>
    <t>Paid to susanta samal</t>
  </si>
  <si>
    <t>Paid to Maa Tarini Snacks and Sweets</t>
  </si>
  <si>
    <t>Paid to Jyotsna Rani Rout</t>
  </si>
  <si>
    <t>Paid to Amazon India</t>
  </si>
  <si>
    <t>Paid to Mathura food</t>
  </si>
  <si>
    <t>Paid to Some place else</t>
  </si>
  <si>
    <t>Paid to SWASTIK OMFED</t>
  </si>
  <si>
    <t>Paid to SBI ATM CASH WITHDRAWAL THROUGH UPI</t>
  </si>
  <si>
    <t>Paid to Sansari VT store</t>
  </si>
  <si>
    <t>Paid to Sarat vegetable</t>
  </si>
  <si>
    <t>Paid to Arya World -3</t>
  </si>
  <si>
    <t>Paid to ROHIT KUMAR SAHA</t>
  </si>
  <si>
    <t>Paid to PRAGNYA TIFFIN STALL</t>
  </si>
  <si>
    <t>Paid to P MOHANTY</t>
  </si>
  <si>
    <t>Paid to konarak electrical</t>
  </si>
  <si>
    <t>Paid to Trupti Ganguram</t>
  </si>
  <si>
    <t>Paid to MAA VARIETY STORE</t>
  </si>
  <si>
    <t>Paid to Krishna Filling Station</t>
  </si>
  <si>
    <t>Paid to SWIGGY</t>
  </si>
  <si>
    <t>Paid to HAREN KUMAR SAHOO</t>
  </si>
  <si>
    <t>Paid to pranab mishra</t>
  </si>
  <si>
    <t>Paid to IBPS BILLDESK</t>
  </si>
  <si>
    <t>Paid to IT ROSE</t>
  </si>
  <si>
    <t>Paid to Pramoda Kumar Sahu</t>
  </si>
  <si>
    <t>Paid to sukanta seth</t>
  </si>
  <si>
    <t>Paid to VIKRAM SHARMA</t>
  </si>
  <si>
    <t>Paid to Vodafone Idea Limited</t>
  </si>
  <si>
    <t>Paid to Mahalaxmi Homeopathy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</si>
</sst>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m\-yyyy"/>
    <numFmt numFmtId="165" formatCode="[$₹-4009]#,##0.00"/>
    <numFmt numFmtId="166" formatCode="0.0%"/>
  </numFmts>
  <fonts count="14">
    <font>
      <sz val="11.0"/>
      <color theme="1"/>
      <name val="Calibri"/>
      <scheme val="minor"/>
    </font>
    <font>
      <b/>
      <sz val="11.0"/>
      <color rgb="FFFFFFFF"/>
      <name val="Arial"/>
    </font>
    <font>
      <b/>
      <sz val="14.0"/>
      <color rgb="FF1F4E78"/>
      <name val="Arial"/>
    </font>
    <font>
      <b/>
      <color rgb="FFFFFFFF"/>
      <name val="Montserrat"/>
    </font>
    <font>
      <sz val="10.0"/>
      <color theme="1"/>
      <name val="Arial"/>
    </font>
    <font>
      <color rgb="FF161D1E"/>
      <name val="Roboto"/>
    </font>
    <font>
      <b/>
      <sz val="11.0"/>
      <color theme="1"/>
      <name val="Arial"/>
    </font>
    <font/>
    <font>
      <sz val="11.0"/>
      <color theme="1"/>
      <name val="Calibri"/>
    </font>
    <font>
      <color theme="1"/>
      <name val="Calibri"/>
      <scheme val="minor"/>
    </font>
    <font>
      <b/>
      <sz val="10.0"/>
      <color rgb="FFFFFFFF"/>
      <name val="Roboto"/>
    </font>
    <font>
      <b/>
      <sz val="11.0"/>
      <color rgb="FFFFFFFF"/>
      <name val="Calibri"/>
    </font>
    <font>
      <sz val="10.0"/>
      <color rgb="FF000000"/>
      <name val="Roboto"/>
    </font>
    <font>
      <b/>
      <sz val="10.0"/>
      <color rgb="FF000000"/>
      <name val="Roboto"/>
    </font>
  </fonts>
  <fills count="9">
    <fill>
      <patternFill patternType="none"/>
    </fill>
    <fill>
      <patternFill patternType="lightGray"/>
    </fill>
    <fill>
      <patternFill patternType="solid">
        <fgColor rgb="FF1F4E78"/>
        <bgColor rgb="FF1F4E78"/>
      </patternFill>
    </fill>
    <fill>
      <patternFill patternType="solid">
        <fgColor rgb="FF006874"/>
        <bgColor rgb="FF006874"/>
      </patternFill>
    </fill>
    <fill>
      <patternFill patternType="solid">
        <fgColor rgb="FFF5F9FA"/>
        <bgColor rgb="FFF5F9FA"/>
      </patternFill>
    </fill>
    <fill>
      <patternFill patternType="solid">
        <fgColor rgb="FFFFFFFF"/>
        <bgColor rgb="FFFFFFFF"/>
      </patternFill>
    </fill>
    <fill>
      <patternFill patternType="solid">
        <fgColor rgb="FF4B5C92"/>
        <bgColor rgb="FF4B5C92"/>
      </patternFill>
    </fill>
    <fill>
      <patternFill patternType="solid">
        <fgColor rgb="FF2A4678"/>
        <bgColor rgb="FF2A4678"/>
      </patternFill>
    </fill>
    <fill>
      <patternFill patternType="solid">
        <fgColor rgb="FFD9EAD2"/>
        <bgColor rgb="FFD9EAD2"/>
      </patternFill>
    </fill>
  </fills>
  <borders count="9">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0"/>
    </xf>
    <xf borderId="0" fillId="0" fontId="2" numFmtId="0" xfId="0" applyAlignment="1" applyFont="1">
      <alignment shrinkToFit="0" vertical="bottom" wrapText="0"/>
    </xf>
    <xf borderId="0" fillId="3" fontId="3" numFmtId="0" xfId="0" applyFill="1" applyFont="1"/>
    <xf borderId="1" fillId="0" fontId="4" numFmtId="0" xfId="0" applyAlignment="1" applyBorder="1" applyFont="1">
      <alignment shrinkToFit="0" vertical="bottom" wrapText="0"/>
    </xf>
    <xf borderId="1" fillId="2" fontId="1" numFmtId="0" xfId="0" applyAlignment="1" applyBorder="1" applyFill="1" applyFont="1">
      <alignment horizontal="center" shrinkToFit="0" vertical="bottom" wrapText="1"/>
    </xf>
    <xf borderId="0" fillId="4" fontId="5" numFmtId="0" xfId="0" applyFill="1" applyFont="1"/>
    <xf borderId="1" fillId="0" fontId="4" numFmtId="164" xfId="0" applyAlignment="1" applyBorder="1" applyFont="1" applyNumberFormat="1">
      <alignment shrinkToFit="0" vertical="bottom" wrapText="0"/>
    </xf>
    <xf borderId="1" fillId="0" fontId="4" numFmtId="4" xfId="0" applyAlignment="1" applyBorder="1" applyFont="1" applyNumberFormat="1">
      <alignment shrinkToFit="0" vertical="bottom" wrapText="0"/>
    </xf>
    <xf borderId="0" fillId="4" fontId="5" numFmtId="165" xfId="0" applyFill="1" applyFont="1" applyNumberFormat="1"/>
    <xf borderId="0" fillId="5" fontId="5" numFmtId="0" xfId="0" applyFill="1" applyFont="1"/>
    <xf borderId="0" fillId="5" fontId="5" numFmtId="165" xfId="0" applyFill="1" applyFont="1" applyNumberFormat="1"/>
    <xf borderId="1" fillId="0" fontId="4" numFmtId="166" xfId="0" applyAlignment="1" applyBorder="1" applyFont="1" applyNumberFormat="1">
      <alignment shrinkToFit="0" vertical="bottom" wrapText="0"/>
    </xf>
    <xf borderId="1" fillId="0" fontId="6" numFmtId="0" xfId="0" applyAlignment="1" applyBorder="1" applyFont="1">
      <alignment shrinkToFit="0" vertical="bottom" wrapText="0"/>
    </xf>
    <xf borderId="1" fillId="0" fontId="6" numFmtId="4" xfId="0" applyAlignment="1" applyBorder="1" applyFont="1" applyNumberFormat="1">
      <alignment shrinkToFit="0" vertical="bottom" wrapText="0"/>
    </xf>
    <xf borderId="2" fillId="0" fontId="6" numFmtId="0" xfId="0" applyAlignment="1" applyBorder="1" applyFont="1">
      <alignment shrinkToFit="0" vertical="bottom" wrapText="0"/>
    </xf>
    <xf borderId="3" fillId="0" fontId="7" numFmtId="0" xfId="0" applyBorder="1" applyFont="1"/>
    <xf borderId="1" fillId="0" fontId="8" numFmtId="0" xfId="0" applyAlignment="1" applyBorder="1" applyFont="1">
      <alignment shrinkToFit="0" vertical="bottom" wrapText="0"/>
    </xf>
    <xf borderId="0" fillId="0" fontId="9" numFmtId="4" xfId="0" applyFont="1" applyNumberFormat="1"/>
    <xf borderId="0" fillId="0" fontId="9" numFmtId="0" xfId="0" applyFont="1"/>
    <xf borderId="4" fillId="6" fontId="10" numFmtId="0" xfId="0" applyAlignment="1" applyBorder="1" applyFill="1" applyFont="1">
      <alignment horizontal="center" readingOrder="0" shrinkToFit="0" vertical="center" wrapText="1"/>
    </xf>
    <xf borderId="5" fillId="7" fontId="11" numFmtId="1" xfId="0" applyAlignment="1" applyBorder="1" applyFill="1" applyFont="1" applyNumberFormat="1">
      <alignment horizontal="center" readingOrder="0" vertical="center"/>
    </xf>
    <xf borderId="6" fillId="0" fontId="7" numFmtId="0" xfId="0" applyBorder="1" applyFont="1"/>
    <xf borderId="7" fillId="0" fontId="7" numFmtId="0" xfId="0" applyBorder="1" applyFont="1"/>
    <xf borderId="8" fillId="5" fontId="12" numFmtId="1" xfId="0" applyAlignment="1" applyBorder="1" applyFill="1" applyFont="1" applyNumberFormat="1">
      <alignment horizontal="center" readingOrder="0" vertical="center"/>
    </xf>
    <xf borderId="8" fillId="5" fontId="12" numFmtId="0" xfId="0" applyAlignment="1" applyBorder="1" applyFill="1" applyFont="1">
      <alignment horizontal="left" readingOrder="0" vertical="center"/>
    </xf>
    <xf borderId="8" fillId="5" fontId="12" numFmtId="49" xfId="0" applyAlignment="1" applyBorder="1" applyFill="1" applyFont="1" applyNumberFormat="1">
      <alignment horizontal="left" readingOrder="0" shrinkToFit="0" vertical="center" wrapText="1"/>
    </xf>
    <xf borderId="8" fillId="8" fontId="13" numFmtId="0" xfId="0" applyAlignment="1" applyBorder="1" applyFill="1" applyFont="1">
      <alignment horizontal="center" readingOrder="0" vertical="center"/>
    </xf>
    <xf borderId="8" fillId="5" fontId="12" numFmtId="1" xfId="0" applyAlignment="1" applyBorder="1" applyFill="1" applyFont="1" applyNumberFormat="1">
      <alignment horizontal="left" readingOrder="0" vertical="center"/>
    </xf>
    <xf borderId="8" fillId="5" fontId="12" numFmtId="49" xfId="0" applyAlignment="1" applyBorder="1" applyFill="1" applyFont="1" applyNumberFormat="1">
      <alignment horizontal="left" readingOrder="0" vertical="center"/>
    </xf>
    <xf borderId="8" fillId="8" fontId="13" numFmtId="1" xfId="0" applyAlignment="1" applyBorder="1" applyFill="1" applyFont="1" applyNumberFormat="1">
      <alignment horizontal="center" readingOrder="0" vertical="center"/>
    </xf>
    <xf borderId="8" fillId="5" fontId="12" numFmtId="0" xfId="0" applyAlignment="1" applyBorder="1" applyFill="1" applyFont="1">
      <alignment horizontal="left" readingOrder="0" shrinkToFit="0" vertical="center" wrapText="1"/>
    </xf>
    <xf quotePrefix="1" borderId="8" fillId="5" fontId="12" numFmtId="0" xfId="0" applyAlignment="1" applyBorder="1" applyFill="1" applyFont="1">
      <alignment horizontal="left" readingOrder="0" shrinkToFit="0" vertical="center" wrapText="1"/>
    </xf>
    <xf quotePrefix="1" borderId="8" fillId="5" fontId="12" numFmtId="49" xfId="0" applyAlignment="1" applyBorder="1" applyFill="1" applyFont="1" applyNumberFormat="1">
      <alignment horizontal="left" readingOrder="0" shrinkToFit="0" vertical="center" wrapText="1"/>
    </xf>
  </cellXfs>
  <cellStyles count="1">
    <cellStyle xfId="0" name="Normal" builtinId="0"/>
  </cellStyles>
  <dxfs count="2">
    <dxf>
      <font/>
      <fill>
        <patternFill patternType="solid">
          <fgColor rgb="FFB6D7A8"/>
          <bgColor rgb="FFB6D7A8"/>
        </patternFill>
      </fill>
      <border/>
    </dxf>
    <dxf>
      <font/>
      <fill>
        <patternFill patternType="solid">
          <fgColor rgb="FFFFD966"/>
          <bgColor rgb="FFFFD9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3.0"/>
    <col customWidth="1" min="3" max="3" width="10.0"/>
    <col customWidth="1" min="4" max="4" width="45.0"/>
    <col customWidth="1" min="5" max="6" width="14.0"/>
    <col customWidth="1" min="7" max="26" width="8.71"/>
  </cols>
  <sheetData>
    <row r="1">
      <c r="A1" s="1" t="s">
        <v>0</v>
      </c>
      <c r="B1" s="1" t="s">
        <v>4</v>
      </c>
      <c r="C1" s="1" t="s">
        <v>5</v>
      </c>
      <c r="D1" s="1" t="s">
        <v>6</v>
      </c>
      <c r="E1" s="1" t="s">
        <v>7</v>
      </c>
      <c r="F1" s="1" t="s">
        <v>3</v>
      </c>
    </row>
    <row r="2">
      <c r="A2" s="4" t="s">
        <v>8</v>
      </c>
      <c r="B2" s="7">
        <v>45383.0</v>
      </c>
      <c r="C2" s="4" t="s">
        <v>17</v>
      </c>
      <c r="D2" s="4" t="s">
        <v>18</v>
      </c>
      <c r="E2" s="8">
        <v>58.8</v>
      </c>
      <c r="F2" s="4" t="str">
        <f t="shared" ref="F2:F2395" si="1">IF(E2&gt;500,"Above 500","500 &amp; Below")</f>
        <v>500 &amp; Below</v>
      </c>
    </row>
    <row r="3">
      <c r="A3" s="4" t="s">
        <v>8</v>
      </c>
      <c r="B3" s="7">
        <v>45383.0</v>
      </c>
      <c r="C3" s="4" t="s">
        <v>17</v>
      </c>
      <c r="D3" s="4" t="s">
        <v>18</v>
      </c>
      <c r="E3" s="8">
        <v>359.49</v>
      </c>
      <c r="F3" s="4" t="str">
        <f t="shared" si="1"/>
        <v>500 &amp; Below</v>
      </c>
    </row>
    <row r="4">
      <c r="A4" s="4" t="s">
        <v>8</v>
      </c>
      <c r="B4" s="7">
        <v>45383.0</v>
      </c>
      <c r="C4" s="4" t="s">
        <v>17</v>
      </c>
      <c r="D4" s="4" t="s">
        <v>18</v>
      </c>
      <c r="E4" s="8">
        <v>19.6</v>
      </c>
      <c r="F4" s="4" t="str">
        <f t="shared" si="1"/>
        <v>500 &amp; Below</v>
      </c>
    </row>
    <row r="5">
      <c r="A5" s="4" t="s">
        <v>8</v>
      </c>
      <c r="B5" s="7">
        <v>45383.0</v>
      </c>
      <c r="C5" s="4" t="s">
        <v>17</v>
      </c>
      <c r="D5" s="4" t="s">
        <v>24</v>
      </c>
      <c r="E5" s="8">
        <v>30.0</v>
      </c>
      <c r="F5" s="4" t="str">
        <f t="shared" si="1"/>
        <v>500 &amp; Below</v>
      </c>
    </row>
    <row r="6">
      <c r="A6" s="4" t="s">
        <v>8</v>
      </c>
      <c r="B6" s="7">
        <v>45383.0</v>
      </c>
      <c r="C6" s="4" t="s">
        <v>17</v>
      </c>
      <c r="D6" s="4" t="s">
        <v>25</v>
      </c>
      <c r="E6" s="8">
        <v>45.0</v>
      </c>
      <c r="F6" s="4" t="str">
        <f t="shared" si="1"/>
        <v>500 &amp; Below</v>
      </c>
    </row>
    <row r="7">
      <c r="A7" s="4" t="s">
        <v>8</v>
      </c>
      <c r="B7" s="7">
        <v>45383.0</v>
      </c>
      <c r="C7" s="4" t="s">
        <v>17</v>
      </c>
      <c r="D7" s="4" t="s">
        <v>26</v>
      </c>
      <c r="E7" s="8">
        <v>775.0</v>
      </c>
      <c r="F7" s="4" t="str">
        <f t="shared" si="1"/>
        <v>Above 500</v>
      </c>
    </row>
    <row r="8">
      <c r="A8" s="4" t="s">
        <v>8</v>
      </c>
      <c r="B8" s="7">
        <v>45383.0</v>
      </c>
      <c r="C8" s="4" t="s">
        <v>17</v>
      </c>
      <c r="D8" s="4" t="s">
        <v>25</v>
      </c>
      <c r="E8" s="8">
        <v>30.0</v>
      </c>
      <c r="F8" s="4" t="str">
        <f t="shared" si="1"/>
        <v>500 &amp; Below</v>
      </c>
    </row>
    <row r="9">
      <c r="A9" s="4" t="s">
        <v>8</v>
      </c>
      <c r="B9" s="7">
        <v>45385.0</v>
      </c>
      <c r="C9" s="4" t="s">
        <v>17</v>
      </c>
      <c r="D9" s="4" t="s">
        <v>27</v>
      </c>
      <c r="E9" s="8">
        <v>200.0</v>
      </c>
      <c r="F9" s="4" t="str">
        <f t="shared" si="1"/>
        <v>500 &amp; Below</v>
      </c>
    </row>
    <row r="10">
      <c r="A10" s="4" t="s">
        <v>8</v>
      </c>
      <c r="B10" s="7">
        <v>45385.0</v>
      </c>
      <c r="C10" s="4" t="s">
        <v>17</v>
      </c>
      <c r="D10" s="4" t="s">
        <v>28</v>
      </c>
      <c r="E10" s="8">
        <v>1.0</v>
      </c>
      <c r="F10" s="4" t="str">
        <f t="shared" si="1"/>
        <v>500 &amp; Below</v>
      </c>
    </row>
    <row r="11">
      <c r="A11" s="4" t="s">
        <v>8</v>
      </c>
      <c r="B11" s="7">
        <v>45389.0</v>
      </c>
      <c r="C11" s="4" t="s">
        <v>17</v>
      </c>
      <c r="D11" s="4" t="s">
        <v>29</v>
      </c>
      <c r="E11" s="8">
        <v>60.0</v>
      </c>
      <c r="F11" s="4" t="str">
        <f t="shared" si="1"/>
        <v>500 &amp; Below</v>
      </c>
    </row>
    <row r="12">
      <c r="A12" s="4" t="s">
        <v>8</v>
      </c>
      <c r="B12" s="7">
        <v>45390.0</v>
      </c>
      <c r="C12" s="4" t="s">
        <v>17</v>
      </c>
      <c r="D12" s="4" t="s">
        <v>30</v>
      </c>
      <c r="E12" s="8">
        <v>2000.0</v>
      </c>
      <c r="F12" s="4" t="str">
        <f t="shared" si="1"/>
        <v>Above 500</v>
      </c>
    </row>
    <row r="13">
      <c r="A13" s="4" t="s">
        <v>8</v>
      </c>
      <c r="B13" s="7">
        <v>45393.0</v>
      </c>
      <c r="C13" s="4" t="s">
        <v>17</v>
      </c>
      <c r="D13" s="4" t="s">
        <v>32</v>
      </c>
      <c r="E13" s="8">
        <v>265.0</v>
      </c>
      <c r="F13" s="4" t="str">
        <f t="shared" si="1"/>
        <v>500 &amp; Below</v>
      </c>
    </row>
    <row r="14">
      <c r="A14" s="4" t="s">
        <v>8</v>
      </c>
      <c r="B14" s="7">
        <v>45394.0</v>
      </c>
      <c r="C14" s="4" t="s">
        <v>17</v>
      </c>
      <c r="D14" s="4" t="s">
        <v>28</v>
      </c>
      <c r="E14" s="8">
        <v>3.0</v>
      </c>
      <c r="F14" s="4" t="str">
        <f t="shared" si="1"/>
        <v>500 &amp; Below</v>
      </c>
    </row>
    <row r="15">
      <c r="A15" s="4" t="s">
        <v>8</v>
      </c>
      <c r="B15" s="7">
        <v>45394.0</v>
      </c>
      <c r="C15" s="4" t="s">
        <v>17</v>
      </c>
      <c r="D15" s="4" t="s">
        <v>28</v>
      </c>
      <c r="E15" s="8">
        <v>50.0</v>
      </c>
      <c r="F15" s="4" t="str">
        <f t="shared" si="1"/>
        <v>500 &amp; Below</v>
      </c>
    </row>
    <row r="16">
      <c r="A16" s="4" t="s">
        <v>8</v>
      </c>
      <c r="B16" s="7">
        <v>45394.0</v>
      </c>
      <c r="C16" s="4" t="s">
        <v>17</v>
      </c>
      <c r="D16" s="4" t="s">
        <v>27</v>
      </c>
      <c r="E16" s="8">
        <v>100.0</v>
      </c>
      <c r="F16" s="4" t="str">
        <f t="shared" si="1"/>
        <v>500 &amp; Below</v>
      </c>
    </row>
    <row r="17">
      <c r="A17" s="4" t="s">
        <v>8</v>
      </c>
      <c r="B17" s="7">
        <v>45396.0</v>
      </c>
      <c r="C17" s="4" t="s">
        <v>17</v>
      </c>
      <c r="D17" s="4" t="s">
        <v>33</v>
      </c>
      <c r="E17" s="8">
        <v>329.0</v>
      </c>
      <c r="F17" s="4" t="str">
        <f t="shared" si="1"/>
        <v>500 &amp; Below</v>
      </c>
    </row>
    <row r="18">
      <c r="A18" s="4" t="s">
        <v>8</v>
      </c>
      <c r="B18" s="7">
        <v>45396.0</v>
      </c>
      <c r="C18" s="4" t="s">
        <v>17</v>
      </c>
      <c r="D18" s="4" t="s">
        <v>27</v>
      </c>
      <c r="E18" s="8">
        <v>50.0</v>
      </c>
      <c r="F18" s="4" t="str">
        <f t="shared" si="1"/>
        <v>500 &amp; Below</v>
      </c>
    </row>
    <row r="19">
      <c r="A19" s="4" t="s">
        <v>8</v>
      </c>
      <c r="B19" s="7">
        <v>45396.0</v>
      </c>
      <c r="C19" s="4" t="s">
        <v>17</v>
      </c>
      <c r="D19" s="4" t="s">
        <v>25</v>
      </c>
      <c r="E19" s="8">
        <v>10.0</v>
      </c>
      <c r="F19" s="4" t="str">
        <f t="shared" si="1"/>
        <v>500 &amp; Below</v>
      </c>
    </row>
    <row r="20">
      <c r="A20" s="4" t="s">
        <v>8</v>
      </c>
      <c r="B20" s="7">
        <v>45396.0</v>
      </c>
      <c r="C20" s="4" t="s">
        <v>17</v>
      </c>
      <c r="D20" s="4" t="s">
        <v>25</v>
      </c>
      <c r="E20" s="8">
        <v>10.0</v>
      </c>
      <c r="F20" s="4" t="str">
        <f t="shared" si="1"/>
        <v>500 &amp; Below</v>
      </c>
    </row>
    <row r="21" ht="15.75" customHeight="1">
      <c r="A21" s="4" t="s">
        <v>8</v>
      </c>
      <c r="B21" s="7">
        <v>45396.0</v>
      </c>
      <c r="C21" s="4" t="s">
        <v>17</v>
      </c>
      <c r="D21" s="4" t="s">
        <v>27</v>
      </c>
      <c r="E21" s="8">
        <v>50.0</v>
      </c>
      <c r="F21" s="4" t="str">
        <f t="shared" si="1"/>
        <v>500 &amp; Below</v>
      </c>
    </row>
    <row r="22" ht="15.75" customHeight="1">
      <c r="A22" s="4" t="s">
        <v>8</v>
      </c>
      <c r="B22" s="7">
        <v>45397.0</v>
      </c>
      <c r="C22" s="4" t="s">
        <v>17</v>
      </c>
      <c r="D22" s="4" t="s">
        <v>34</v>
      </c>
      <c r="E22" s="8">
        <v>85.0</v>
      </c>
      <c r="F22" s="4" t="str">
        <f t="shared" si="1"/>
        <v>500 &amp; Below</v>
      </c>
    </row>
    <row r="23" ht="15.75" customHeight="1">
      <c r="A23" s="4" t="s">
        <v>8</v>
      </c>
      <c r="B23" s="7">
        <v>45397.0</v>
      </c>
      <c r="C23" s="4" t="s">
        <v>17</v>
      </c>
      <c r="D23" s="4" t="s">
        <v>35</v>
      </c>
      <c r="E23" s="8">
        <v>20.0</v>
      </c>
      <c r="F23" s="4" t="str">
        <f t="shared" si="1"/>
        <v>500 &amp; Below</v>
      </c>
    </row>
    <row r="24" ht="15.75" customHeight="1">
      <c r="A24" s="4" t="s">
        <v>8</v>
      </c>
      <c r="B24" s="7">
        <v>45397.0</v>
      </c>
      <c r="C24" s="4" t="s">
        <v>17</v>
      </c>
      <c r="D24" s="4" t="s">
        <v>27</v>
      </c>
      <c r="E24" s="8">
        <v>700.0</v>
      </c>
      <c r="F24" s="4" t="str">
        <f t="shared" si="1"/>
        <v>Above 500</v>
      </c>
    </row>
    <row r="25" ht="15.75" customHeight="1">
      <c r="A25" s="4" t="s">
        <v>8</v>
      </c>
      <c r="B25" s="7">
        <v>45398.0</v>
      </c>
      <c r="C25" s="4" t="s">
        <v>17</v>
      </c>
      <c r="D25" s="4" t="s">
        <v>36</v>
      </c>
      <c r="E25" s="8">
        <v>2778.0</v>
      </c>
      <c r="F25" s="4" t="str">
        <f t="shared" si="1"/>
        <v>Above 500</v>
      </c>
    </row>
    <row r="26" ht="15.75" customHeight="1">
      <c r="A26" s="4" t="s">
        <v>8</v>
      </c>
      <c r="B26" s="7">
        <v>45398.0</v>
      </c>
      <c r="C26" s="4" t="s">
        <v>17</v>
      </c>
      <c r="D26" s="4" t="s">
        <v>36</v>
      </c>
      <c r="E26" s="8">
        <v>2427.0</v>
      </c>
      <c r="F26" s="4" t="str">
        <f t="shared" si="1"/>
        <v>Above 500</v>
      </c>
    </row>
    <row r="27" ht="15.75" customHeight="1">
      <c r="A27" s="4" t="s">
        <v>8</v>
      </c>
      <c r="B27" s="7">
        <v>45399.0</v>
      </c>
      <c r="C27" s="4" t="s">
        <v>17</v>
      </c>
      <c r="D27" s="4" t="s">
        <v>36</v>
      </c>
      <c r="E27" s="8">
        <v>2926.0</v>
      </c>
      <c r="F27" s="4" t="str">
        <f t="shared" si="1"/>
        <v>Above 500</v>
      </c>
    </row>
    <row r="28" ht="15.75" customHeight="1">
      <c r="A28" s="4" t="s">
        <v>8</v>
      </c>
      <c r="B28" s="7">
        <v>45399.0</v>
      </c>
      <c r="C28" s="4" t="s">
        <v>17</v>
      </c>
      <c r="D28" s="4" t="s">
        <v>25</v>
      </c>
      <c r="E28" s="8">
        <v>5.0</v>
      </c>
      <c r="F28" s="4" t="str">
        <f t="shared" si="1"/>
        <v>500 &amp; Below</v>
      </c>
    </row>
    <row r="29" ht="15.75" customHeight="1">
      <c r="A29" s="4" t="s">
        <v>8</v>
      </c>
      <c r="B29" s="7">
        <v>45405.0</v>
      </c>
      <c r="C29" s="4" t="s">
        <v>17</v>
      </c>
      <c r="D29" s="4" t="s">
        <v>37</v>
      </c>
      <c r="E29" s="8">
        <v>319.0</v>
      </c>
      <c r="F29" s="4" t="str">
        <f t="shared" si="1"/>
        <v>500 &amp; Below</v>
      </c>
    </row>
    <row r="30" ht="15.75" customHeight="1">
      <c r="A30" s="4" t="s">
        <v>8</v>
      </c>
      <c r="B30" s="7">
        <v>45406.0</v>
      </c>
      <c r="C30" s="4" t="s">
        <v>17</v>
      </c>
      <c r="D30" s="4" t="s">
        <v>38</v>
      </c>
      <c r="E30" s="8">
        <v>40.0</v>
      </c>
      <c r="F30" s="4" t="str">
        <f t="shared" si="1"/>
        <v>500 &amp; Below</v>
      </c>
    </row>
    <row r="31" ht="15.75" customHeight="1">
      <c r="A31" s="4" t="s">
        <v>8</v>
      </c>
      <c r="B31" s="7">
        <v>45406.0</v>
      </c>
      <c r="C31" s="4" t="s">
        <v>17</v>
      </c>
      <c r="D31" s="4" t="s">
        <v>18</v>
      </c>
      <c r="E31" s="8">
        <v>149.0</v>
      </c>
      <c r="F31" s="4" t="str">
        <f t="shared" si="1"/>
        <v>500 &amp; Below</v>
      </c>
    </row>
    <row r="32" ht="15.75" customHeight="1">
      <c r="A32" s="4" t="s">
        <v>8</v>
      </c>
      <c r="B32" s="7">
        <v>45406.0</v>
      </c>
      <c r="C32" s="4" t="s">
        <v>17</v>
      </c>
      <c r="D32" s="4" t="s">
        <v>39</v>
      </c>
      <c r="E32" s="8">
        <v>5.0</v>
      </c>
      <c r="F32" s="4" t="str">
        <f t="shared" si="1"/>
        <v>500 &amp; Below</v>
      </c>
    </row>
    <row r="33" ht="15.75" customHeight="1">
      <c r="A33" s="4" t="s">
        <v>8</v>
      </c>
      <c r="B33" s="7">
        <v>45406.0</v>
      </c>
      <c r="C33" s="4" t="s">
        <v>17</v>
      </c>
      <c r="D33" s="4" t="s">
        <v>40</v>
      </c>
      <c r="E33" s="8">
        <v>50.0</v>
      </c>
      <c r="F33" s="4" t="str">
        <f t="shared" si="1"/>
        <v>500 &amp; Below</v>
      </c>
    </row>
    <row r="34" ht="15.75" customHeight="1">
      <c r="A34" s="4" t="s">
        <v>8</v>
      </c>
      <c r="B34" s="7">
        <v>45406.0</v>
      </c>
      <c r="C34" s="4" t="s">
        <v>17</v>
      </c>
      <c r="D34" s="4" t="s">
        <v>41</v>
      </c>
      <c r="E34" s="8">
        <v>118.0</v>
      </c>
      <c r="F34" s="4" t="str">
        <f t="shared" si="1"/>
        <v>500 &amp; Below</v>
      </c>
    </row>
    <row r="35" ht="15.75" customHeight="1">
      <c r="A35" s="4" t="s">
        <v>8</v>
      </c>
      <c r="B35" s="7">
        <v>45410.0</v>
      </c>
      <c r="C35" s="4" t="s">
        <v>17</v>
      </c>
      <c r="D35" s="4" t="s">
        <v>42</v>
      </c>
      <c r="E35" s="8">
        <v>70.0</v>
      </c>
      <c r="F35" s="4" t="str">
        <f t="shared" si="1"/>
        <v>500 &amp; Below</v>
      </c>
    </row>
    <row r="36" ht="15.75" customHeight="1">
      <c r="A36" s="4" t="s">
        <v>8</v>
      </c>
      <c r="B36" s="7">
        <v>45410.0</v>
      </c>
      <c r="C36" s="4" t="s">
        <v>17</v>
      </c>
      <c r="D36" s="4" t="s">
        <v>43</v>
      </c>
      <c r="E36" s="8">
        <v>98.0</v>
      </c>
      <c r="F36" s="4" t="str">
        <f t="shared" si="1"/>
        <v>500 &amp; Below</v>
      </c>
    </row>
    <row r="37" ht="15.75" customHeight="1">
      <c r="A37" s="4" t="s">
        <v>8</v>
      </c>
      <c r="B37" s="7">
        <v>45410.0</v>
      </c>
      <c r="C37" s="4" t="s">
        <v>17</v>
      </c>
      <c r="D37" s="4" t="s">
        <v>44</v>
      </c>
      <c r="E37" s="8">
        <v>330.0</v>
      </c>
      <c r="F37" s="4" t="str">
        <f t="shared" si="1"/>
        <v>500 &amp; Below</v>
      </c>
    </row>
    <row r="38" ht="15.75" customHeight="1">
      <c r="A38" s="4" t="s">
        <v>8</v>
      </c>
      <c r="B38" s="7">
        <v>45410.0</v>
      </c>
      <c r="C38" s="4" t="s">
        <v>17</v>
      </c>
      <c r="D38" s="4" t="s">
        <v>45</v>
      </c>
      <c r="E38" s="8">
        <v>1208.0</v>
      </c>
      <c r="F38" s="4" t="str">
        <f t="shared" si="1"/>
        <v>Above 500</v>
      </c>
    </row>
    <row r="39" ht="15.75" customHeight="1">
      <c r="A39" s="4" t="s">
        <v>8</v>
      </c>
      <c r="B39" s="7">
        <v>45410.0</v>
      </c>
      <c r="C39" s="4" t="s">
        <v>17</v>
      </c>
      <c r="D39" s="4" t="s">
        <v>44</v>
      </c>
      <c r="E39" s="8">
        <v>70.0</v>
      </c>
      <c r="F39" s="4" t="str">
        <f t="shared" si="1"/>
        <v>500 &amp; Below</v>
      </c>
    </row>
    <row r="40" ht="15.75" customHeight="1">
      <c r="A40" s="4" t="s">
        <v>8</v>
      </c>
      <c r="B40" s="7">
        <v>45410.0</v>
      </c>
      <c r="C40" s="4" t="s">
        <v>17</v>
      </c>
      <c r="D40" s="4" t="s">
        <v>25</v>
      </c>
      <c r="E40" s="8">
        <v>30.0</v>
      </c>
      <c r="F40" s="4" t="str">
        <f t="shared" si="1"/>
        <v>500 &amp; Below</v>
      </c>
    </row>
    <row r="41" ht="15.75" customHeight="1">
      <c r="A41" s="4" t="s">
        <v>8</v>
      </c>
      <c r="B41" s="7">
        <v>45411.0</v>
      </c>
      <c r="C41" s="4" t="s">
        <v>17</v>
      </c>
      <c r="D41" s="4" t="s">
        <v>46</v>
      </c>
      <c r="E41" s="8">
        <v>100.0</v>
      </c>
      <c r="F41" s="4" t="str">
        <f t="shared" si="1"/>
        <v>500 &amp; Below</v>
      </c>
    </row>
    <row r="42" ht="15.75" customHeight="1">
      <c r="A42" s="4" t="s">
        <v>8</v>
      </c>
      <c r="B42" s="7">
        <v>45411.0</v>
      </c>
      <c r="C42" s="4" t="s">
        <v>17</v>
      </c>
      <c r="D42" s="4" t="s">
        <v>47</v>
      </c>
      <c r="E42" s="8">
        <v>40.0</v>
      </c>
      <c r="F42" s="4" t="str">
        <f t="shared" si="1"/>
        <v>500 &amp; Below</v>
      </c>
    </row>
    <row r="43" ht="15.75" customHeight="1">
      <c r="A43" s="4" t="s">
        <v>8</v>
      </c>
      <c r="B43" s="7">
        <v>45411.0</v>
      </c>
      <c r="C43" s="4" t="s">
        <v>17</v>
      </c>
      <c r="D43" s="4" t="s">
        <v>48</v>
      </c>
      <c r="E43" s="8">
        <v>286.0</v>
      </c>
      <c r="F43" s="4" t="str">
        <f t="shared" si="1"/>
        <v>500 &amp; Below</v>
      </c>
    </row>
    <row r="44" ht="15.75" customHeight="1">
      <c r="A44" s="4" t="s">
        <v>8</v>
      </c>
      <c r="B44" s="7">
        <v>45414.0</v>
      </c>
      <c r="C44" s="4" t="s">
        <v>49</v>
      </c>
      <c r="D44" s="4" t="s">
        <v>50</v>
      </c>
      <c r="E44" s="8">
        <v>350.0</v>
      </c>
      <c r="F44" s="4" t="str">
        <f t="shared" si="1"/>
        <v>500 &amp; Below</v>
      </c>
    </row>
    <row r="45" ht="15.75" customHeight="1">
      <c r="A45" s="4" t="s">
        <v>8</v>
      </c>
      <c r="B45" s="7">
        <v>45414.0</v>
      </c>
      <c r="C45" s="4" t="s">
        <v>49</v>
      </c>
      <c r="D45" s="4" t="s">
        <v>51</v>
      </c>
      <c r="E45" s="8">
        <v>10.0</v>
      </c>
      <c r="F45" s="4" t="str">
        <f t="shared" si="1"/>
        <v>500 &amp; Below</v>
      </c>
    </row>
    <row r="46" ht="15.75" customHeight="1">
      <c r="A46" s="4" t="s">
        <v>8</v>
      </c>
      <c r="B46" s="7">
        <v>45414.0</v>
      </c>
      <c r="C46" s="4" t="s">
        <v>49</v>
      </c>
      <c r="D46" s="4" t="s">
        <v>51</v>
      </c>
      <c r="E46" s="8">
        <v>30.0</v>
      </c>
      <c r="F46" s="4" t="str">
        <f t="shared" si="1"/>
        <v>500 &amp; Below</v>
      </c>
    </row>
    <row r="47" ht="15.75" customHeight="1">
      <c r="A47" s="4" t="s">
        <v>8</v>
      </c>
      <c r="B47" s="7">
        <v>45418.0</v>
      </c>
      <c r="C47" s="4" t="s">
        <v>49</v>
      </c>
      <c r="D47" s="4" t="s">
        <v>52</v>
      </c>
      <c r="E47" s="8">
        <v>394.0</v>
      </c>
      <c r="F47" s="4" t="str">
        <f t="shared" si="1"/>
        <v>500 &amp; Below</v>
      </c>
    </row>
    <row r="48" ht="15.75" customHeight="1">
      <c r="A48" s="4" t="s">
        <v>8</v>
      </c>
      <c r="B48" s="7">
        <v>45419.0</v>
      </c>
      <c r="C48" s="4" t="s">
        <v>49</v>
      </c>
      <c r="D48" s="4" t="s">
        <v>53</v>
      </c>
      <c r="E48" s="8">
        <v>2000.0</v>
      </c>
      <c r="F48" s="4" t="str">
        <f t="shared" si="1"/>
        <v>Above 500</v>
      </c>
    </row>
    <row r="49" ht="15.75" customHeight="1">
      <c r="A49" s="4" t="s">
        <v>8</v>
      </c>
      <c r="B49" s="7">
        <v>45419.0</v>
      </c>
      <c r="C49" s="4" t="s">
        <v>49</v>
      </c>
      <c r="D49" s="4" t="s">
        <v>42</v>
      </c>
      <c r="E49" s="8">
        <v>135.0</v>
      </c>
      <c r="F49" s="4" t="str">
        <f t="shared" si="1"/>
        <v>500 &amp; Below</v>
      </c>
    </row>
    <row r="50" ht="15.75" customHeight="1">
      <c r="A50" s="4" t="s">
        <v>8</v>
      </c>
      <c r="B50" s="7">
        <v>45420.0</v>
      </c>
      <c r="C50" s="4" t="s">
        <v>49</v>
      </c>
      <c r="D50" s="4" t="s">
        <v>39</v>
      </c>
      <c r="E50" s="8">
        <v>25.0</v>
      </c>
      <c r="F50" s="4" t="str">
        <f t="shared" si="1"/>
        <v>500 &amp; Below</v>
      </c>
    </row>
    <row r="51" ht="15.75" customHeight="1">
      <c r="A51" s="4" t="s">
        <v>8</v>
      </c>
      <c r="B51" s="7">
        <v>45420.0</v>
      </c>
      <c r="C51" s="4" t="s">
        <v>49</v>
      </c>
      <c r="D51" s="4" t="s">
        <v>27</v>
      </c>
      <c r="E51" s="8">
        <v>600.0</v>
      </c>
      <c r="F51" s="4" t="str">
        <f t="shared" si="1"/>
        <v>Above 500</v>
      </c>
    </row>
    <row r="52" ht="15.75" customHeight="1">
      <c r="A52" s="4" t="s">
        <v>8</v>
      </c>
      <c r="B52" s="7">
        <v>45421.0</v>
      </c>
      <c r="C52" s="4" t="s">
        <v>49</v>
      </c>
      <c r="D52" s="4" t="s">
        <v>32</v>
      </c>
      <c r="E52" s="8">
        <v>265.0</v>
      </c>
      <c r="F52" s="4" t="str">
        <f t="shared" si="1"/>
        <v>500 &amp; Below</v>
      </c>
    </row>
    <row r="53" ht="15.75" customHeight="1">
      <c r="A53" s="4" t="s">
        <v>8</v>
      </c>
      <c r="B53" s="7">
        <v>45421.0</v>
      </c>
      <c r="C53" s="4" t="s">
        <v>49</v>
      </c>
      <c r="D53" s="4" t="s">
        <v>46</v>
      </c>
      <c r="E53" s="8">
        <v>100.0</v>
      </c>
      <c r="F53" s="4" t="str">
        <f t="shared" si="1"/>
        <v>500 &amp; Below</v>
      </c>
    </row>
    <row r="54" ht="15.75" customHeight="1">
      <c r="A54" s="4" t="s">
        <v>8</v>
      </c>
      <c r="B54" s="7">
        <v>45422.0</v>
      </c>
      <c r="C54" s="4" t="s">
        <v>49</v>
      </c>
      <c r="D54" s="4" t="s">
        <v>56</v>
      </c>
      <c r="E54" s="8">
        <v>300.0</v>
      </c>
      <c r="F54" s="4" t="str">
        <f t="shared" si="1"/>
        <v>500 &amp; Below</v>
      </c>
    </row>
    <row r="55" ht="15.75" customHeight="1">
      <c r="A55" s="4" t="s">
        <v>8</v>
      </c>
      <c r="B55" s="7">
        <v>45422.0</v>
      </c>
      <c r="C55" s="4" t="s">
        <v>49</v>
      </c>
      <c r="D55" s="4" t="s">
        <v>57</v>
      </c>
      <c r="E55" s="8">
        <v>20.0</v>
      </c>
      <c r="F55" s="4" t="str">
        <f t="shared" si="1"/>
        <v>500 &amp; Below</v>
      </c>
    </row>
    <row r="56" ht="15.75" customHeight="1">
      <c r="A56" s="4" t="s">
        <v>8</v>
      </c>
      <c r="B56" s="7">
        <v>45424.0</v>
      </c>
      <c r="C56" s="4" t="s">
        <v>49</v>
      </c>
      <c r="D56" s="4" t="s">
        <v>58</v>
      </c>
      <c r="E56" s="8">
        <v>130.0</v>
      </c>
      <c r="F56" s="4" t="str">
        <f t="shared" si="1"/>
        <v>500 &amp; Below</v>
      </c>
    </row>
    <row r="57" ht="15.75" customHeight="1">
      <c r="A57" s="4" t="s">
        <v>8</v>
      </c>
      <c r="B57" s="7">
        <v>45424.0</v>
      </c>
      <c r="C57" s="4" t="s">
        <v>49</v>
      </c>
      <c r="D57" s="4" t="s">
        <v>59</v>
      </c>
      <c r="E57" s="8">
        <v>90.0</v>
      </c>
      <c r="F57" s="4" t="str">
        <f t="shared" si="1"/>
        <v>500 &amp; Below</v>
      </c>
    </row>
    <row r="58" ht="15.75" customHeight="1">
      <c r="A58" s="4" t="s">
        <v>8</v>
      </c>
      <c r="B58" s="7">
        <v>45425.0</v>
      </c>
      <c r="C58" s="4" t="s">
        <v>49</v>
      </c>
      <c r="D58" s="4" t="s">
        <v>27</v>
      </c>
      <c r="E58" s="8">
        <v>200.0</v>
      </c>
      <c r="F58" s="4" t="str">
        <f t="shared" si="1"/>
        <v>500 &amp; Below</v>
      </c>
    </row>
    <row r="59" ht="15.75" customHeight="1">
      <c r="A59" s="4" t="s">
        <v>8</v>
      </c>
      <c r="B59" s="7">
        <v>45427.0</v>
      </c>
      <c r="C59" s="4" t="s">
        <v>49</v>
      </c>
      <c r="D59" s="4" t="s">
        <v>32</v>
      </c>
      <c r="E59" s="8">
        <v>719.0</v>
      </c>
      <c r="F59" s="4" t="str">
        <f t="shared" si="1"/>
        <v>Above 500</v>
      </c>
    </row>
    <row r="60" ht="15.75" customHeight="1">
      <c r="A60" s="4" t="s">
        <v>8</v>
      </c>
      <c r="B60" s="7">
        <v>45427.0</v>
      </c>
      <c r="C60" s="4" t="s">
        <v>49</v>
      </c>
      <c r="D60" s="4" t="s">
        <v>36</v>
      </c>
      <c r="E60" s="8">
        <v>3844.0</v>
      </c>
      <c r="F60" s="4" t="str">
        <f t="shared" si="1"/>
        <v>Above 500</v>
      </c>
    </row>
    <row r="61" ht="15.75" customHeight="1">
      <c r="A61" s="4" t="s">
        <v>8</v>
      </c>
      <c r="B61" s="7">
        <v>45427.0</v>
      </c>
      <c r="C61" s="4" t="s">
        <v>49</v>
      </c>
      <c r="D61" s="4" t="s">
        <v>36</v>
      </c>
      <c r="E61" s="8">
        <v>3153.0</v>
      </c>
      <c r="F61" s="4" t="str">
        <f t="shared" si="1"/>
        <v>Above 500</v>
      </c>
    </row>
    <row r="62" ht="15.75" customHeight="1">
      <c r="A62" s="4" t="s">
        <v>8</v>
      </c>
      <c r="B62" s="7">
        <v>45427.0</v>
      </c>
      <c r="C62" s="4" t="s">
        <v>49</v>
      </c>
      <c r="D62" s="4" t="s">
        <v>36</v>
      </c>
      <c r="E62" s="8">
        <v>3953.0</v>
      </c>
      <c r="F62" s="4" t="str">
        <f t="shared" si="1"/>
        <v>Above 500</v>
      </c>
    </row>
    <row r="63" ht="15.75" customHeight="1">
      <c r="A63" s="4" t="s">
        <v>8</v>
      </c>
      <c r="B63" s="7">
        <v>45429.0</v>
      </c>
      <c r="C63" s="4" t="s">
        <v>49</v>
      </c>
      <c r="D63" s="4" t="s">
        <v>60</v>
      </c>
      <c r="E63" s="8">
        <v>4973.6</v>
      </c>
      <c r="F63" s="4" t="str">
        <f t="shared" si="1"/>
        <v>Above 500</v>
      </c>
    </row>
    <row r="64" ht="15.75" customHeight="1">
      <c r="A64" s="4" t="s">
        <v>8</v>
      </c>
      <c r="B64" s="7">
        <v>45429.0</v>
      </c>
      <c r="C64" s="4" t="s">
        <v>49</v>
      </c>
      <c r="D64" s="4" t="s">
        <v>60</v>
      </c>
      <c r="E64" s="8">
        <v>4913.6</v>
      </c>
      <c r="F64" s="4" t="str">
        <f t="shared" si="1"/>
        <v>Above 500</v>
      </c>
    </row>
    <row r="65" ht="15.75" customHeight="1">
      <c r="A65" s="4" t="s">
        <v>8</v>
      </c>
      <c r="B65" s="7">
        <v>45430.0</v>
      </c>
      <c r="C65" s="4" t="s">
        <v>49</v>
      </c>
      <c r="D65" s="4" t="s">
        <v>61</v>
      </c>
      <c r="E65" s="8">
        <v>7380.0</v>
      </c>
      <c r="F65" s="4" t="str">
        <f t="shared" si="1"/>
        <v>Above 500</v>
      </c>
    </row>
    <row r="66" ht="15.75" customHeight="1">
      <c r="A66" s="4" t="s">
        <v>8</v>
      </c>
      <c r="B66" s="7">
        <v>45431.0</v>
      </c>
      <c r="C66" s="4" t="s">
        <v>49</v>
      </c>
      <c r="D66" s="4" t="s">
        <v>62</v>
      </c>
      <c r="E66" s="8">
        <v>50.0</v>
      </c>
      <c r="F66" s="4" t="str">
        <f t="shared" si="1"/>
        <v>500 &amp; Below</v>
      </c>
    </row>
    <row r="67" ht="15.75" customHeight="1">
      <c r="A67" s="4" t="s">
        <v>8</v>
      </c>
      <c r="B67" s="7">
        <v>45431.0</v>
      </c>
      <c r="C67" s="4" t="s">
        <v>49</v>
      </c>
      <c r="D67" s="4" t="s">
        <v>64</v>
      </c>
      <c r="E67" s="8">
        <v>2400.0</v>
      </c>
      <c r="F67" s="4" t="str">
        <f t="shared" si="1"/>
        <v>Above 500</v>
      </c>
    </row>
    <row r="68" ht="15.75" customHeight="1">
      <c r="A68" s="4" t="s">
        <v>8</v>
      </c>
      <c r="B68" s="7">
        <v>45431.0</v>
      </c>
      <c r="C68" s="4" t="s">
        <v>49</v>
      </c>
      <c r="D68" s="4" t="s">
        <v>65</v>
      </c>
      <c r="E68" s="8">
        <v>1650.0</v>
      </c>
      <c r="F68" s="4" t="str">
        <f t="shared" si="1"/>
        <v>Above 500</v>
      </c>
    </row>
    <row r="69" ht="15.75" customHeight="1">
      <c r="A69" s="4" t="s">
        <v>8</v>
      </c>
      <c r="B69" s="7">
        <v>45431.0</v>
      </c>
      <c r="C69" s="4" t="s">
        <v>49</v>
      </c>
      <c r="D69" s="4" t="s">
        <v>45</v>
      </c>
      <c r="E69" s="8">
        <v>651.0</v>
      </c>
      <c r="F69" s="4" t="str">
        <f t="shared" si="1"/>
        <v>Above 500</v>
      </c>
    </row>
    <row r="70" ht="15.75" customHeight="1">
      <c r="A70" s="4" t="s">
        <v>8</v>
      </c>
      <c r="B70" s="7">
        <v>45431.0</v>
      </c>
      <c r="C70" s="4" t="s">
        <v>49</v>
      </c>
      <c r="D70" s="4" t="s">
        <v>25</v>
      </c>
      <c r="E70" s="8">
        <v>45.0</v>
      </c>
      <c r="F70" s="4" t="str">
        <f t="shared" si="1"/>
        <v>500 &amp; Below</v>
      </c>
    </row>
    <row r="71" ht="15.75" customHeight="1">
      <c r="A71" s="4" t="s">
        <v>8</v>
      </c>
      <c r="B71" s="7">
        <v>45432.0</v>
      </c>
      <c r="C71" s="4" t="s">
        <v>49</v>
      </c>
      <c r="D71" s="4" t="s">
        <v>37</v>
      </c>
      <c r="E71" s="8">
        <v>15.0</v>
      </c>
      <c r="F71" s="4" t="str">
        <f t="shared" si="1"/>
        <v>500 &amp; Below</v>
      </c>
    </row>
    <row r="72" ht="15.75" customHeight="1">
      <c r="A72" s="4" t="s">
        <v>8</v>
      </c>
      <c r="B72" s="7">
        <v>45433.0</v>
      </c>
      <c r="C72" s="4" t="s">
        <v>49</v>
      </c>
      <c r="D72" s="4" t="s">
        <v>67</v>
      </c>
      <c r="E72" s="8">
        <v>20.0</v>
      </c>
      <c r="F72" s="4" t="str">
        <f t="shared" si="1"/>
        <v>500 &amp; Below</v>
      </c>
    </row>
    <row r="73" ht="15.75" customHeight="1">
      <c r="A73" s="4" t="s">
        <v>8</v>
      </c>
      <c r="B73" s="7">
        <v>45433.0</v>
      </c>
      <c r="C73" s="4" t="s">
        <v>49</v>
      </c>
      <c r="D73" s="4" t="s">
        <v>60</v>
      </c>
      <c r="E73" s="8">
        <v>776.8</v>
      </c>
      <c r="F73" s="4" t="str">
        <f t="shared" si="1"/>
        <v>Above 500</v>
      </c>
    </row>
    <row r="74" ht="15.75" customHeight="1">
      <c r="A74" s="4" t="s">
        <v>8</v>
      </c>
      <c r="B74" s="7">
        <v>45433.0</v>
      </c>
      <c r="C74" s="4" t="s">
        <v>49</v>
      </c>
      <c r="D74" s="4" t="s">
        <v>60</v>
      </c>
      <c r="E74" s="8">
        <v>686.8</v>
      </c>
      <c r="F74" s="4" t="str">
        <f t="shared" si="1"/>
        <v>Above 500</v>
      </c>
    </row>
    <row r="75" ht="15.75" customHeight="1">
      <c r="A75" s="4" t="s">
        <v>8</v>
      </c>
      <c r="B75" s="7">
        <v>45434.0</v>
      </c>
      <c r="C75" s="4" t="s">
        <v>49</v>
      </c>
      <c r="D75" s="4" t="s">
        <v>46</v>
      </c>
      <c r="E75" s="8">
        <v>100.0</v>
      </c>
      <c r="F75" s="4" t="str">
        <f t="shared" si="1"/>
        <v>500 &amp; Below</v>
      </c>
    </row>
    <row r="76" ht="15.75" customHeight="1">
      <c r="A76" s="4" t="s">
        <v>8</v>
      </c>
      <c r="B76" s="7">
        <v>45434.0</v>
      </c>
      <c r="C76" s="4" t="s">
        <v>49</v>
      </c>
      <c r="D76" s="4" t="s">
        <v>27</v>
      </c>
      <c r="E76" s="8">
        <v>400.0</v>
      </c>
      <c r="F76" s="4" t="str">
        <f t="shared" si="1"/>
        <v>500 &amp; Below</v>
      </c>
    </row>
    <row r="77" ht="15.75" customHeight="1">
      <c r="A77" s="4" t="s">
        <v>8</v>
      </c>
      <c r="B77" s="7">
        <v>45434.0</v>
      </c>
      <c r="C77" s="4" t="s">
        <v>49</v>
      </c>
      <c r="D77" s="4" t="s">
        <v>68</v>
      </c>
      <c r="E77" s="8">
        <v>20.0</v>
      </c>
      <c r="F77" s="4" t="str">
        <f t="shared" si="1"/>
        <v>500 &amp; Below</v>
      </c>
    </row>
    <row r="78" ht="15.75" customHeight="1">
      <c r="A78" s="4" t="s">
        <v>8</v>
      </c>
      <c r="B78" s="7">
        <v>45434.0</v>
      </c>
      <c r="C78" s="4" t="s">
        <v>49</v>
      </c>
      <c r="D78" s="4" t="s">
        <v>69</v>
      </c>
      <c r="E78" s="8">
        <v>118.0</v>
      </c>
      <c r="F78" s="4" t="str">
        <f t="shared" si="1"/>
        <v>500 &amp; Below</v>
      </c>
    </row>
    <row r="79" ht="15.75" customHeight="1">
      <c r="A79" s="4" t="s">
        <v>8</v>
      </c>
      <c r="B79" s="7">
        <v>45436.0</v>
      </c>
      <c r="C79" s="4" t="s">
        <v>49</v>
      </c>
      <c r="D79" s="4" t="s">
        <v>68</v>
      </c>
      <c r="E79" s="8">
        <v>20.0</v>
      </c>
      <c r="F79" s="4" t="str">
        <f t="shared" si="1"/>
        <v>500 &amp; Below</v>
      </c>
    </row>
    <row r="80" ht="15.75" customHeight="1">
      <c r="A80" s="4" t="s">
        <v>8</v>
      </c>
      <c r="B80" s="7">
        <v>45438.0</v>
      </c>
      <c r="C80" s="4" t="s">
        <v>49</v>
      </c>
      <c r="D80" s="4" t="s">
        <v>70</v>
      </c>
      <c r="E80" s="8">
        <v>1438.0</v>
      </c>
      <c r="F80" s="4" t="str">
        <f t="shared" si="1"/>
        <v>Above 500</v>
      </c>
    </row>
    <row r="81" ht="15.75" customHeight="1">
      <c r="A81" s="4" t="s">
        <v>8</v>
      </c>
      <c r="B81" s="7">
        <v>45438.0</v>
      </c>
      <c r="C81" s="4" t="s">
        <v>49</v>
      </c>
      <c r="D81" s="4" t="s">
        <v>25</v>
      </c>
      <c r="E81" s="8">
        <v>30.0</v>
      </c>
      <c r="F81" s="4" t="str">
        <f t="shared" si="1"/>
        <v>500 &amp; Below</v>
      </c>
    </row>
    <row r="82" ht="15.75" customHeight="1">
      <c r="A82" s="4" t="s">
        <v>8</v>
      </c>
      <c r="B82" s="7">
        <v>45439.0</v>
      </c>
      <c r="C82" s="4" t="s">
        <v>49</v>
      </c>
      <c r="D82" s="4" t="s">
        <v>39</v>
      </c>
      <c r="E82" s="8">
        <v>45.0</v>
      </c>
      <c r="F82" s="4" t="str">
        <f t="shared" si="1"/>
        <v>500 &amp; Below</v>
      </c>
    </row>
    <row r="83" ht="15.75" customHeight="1">
      <c r="A83" s="4" t="s">
        <v>8</v>
      </c>
      <c r="B83" s="7">
        <v>45440.0</v>
      </c>
      <c r="C83" s="4" t="s">
        <v>49</v>
      </c>
      <c r="D83" s="4" t="s">
        <v>72</v>
      </c>
      <c r="E83" s="8">
        <v>670.0</v>
      </c>
      <c r="F83" s="4" t="str">
        <f t="shared" si="1"/>
        <v>Above 500</v>
      </c>
    </row>
    <row r="84" ht="15.75" customHeight="1">
      <c r="A84" s="4" t="s">
        <v>8</v>
      </c>
      <c r="B84" s="7">
        <v>45440.0</v>
      </c>
      <c r="C84" s="4" t="s">
        <v>49</v>
      </c>
      <c r="D84" s="4" t="s">
        <v>46</v>
      </c>
      <c r="E84" s="8">
        <v>360.0</v>
      </c>
      <c r="F84" s="4" t="str">
        <f t="shared" si="1"/>
        <v>500 &amp; Below</v>
      </c>
    </row>
    <row r="85" ht="15.75" customHeight="1">
      <c r="A85" s="4" t="s">
        <v>8</v>
      </c>
      <c r="B85" s="7">
        <v>45440.0</v>
      </c>
      <c r="C85" s="4" t="s">
        <v>49</v>
      </c>
      <c r="D85" s="4" t="s">
        <v>25</v>
      </c>
      <c r="E85" s="8">
        <v>20.0</v>
      </c>
      <c r="F85" s="4" t="str">
        <f t="shared" si="1"/>
        <v>500 &amp; Below</v>
      </c>
    </row>
    <row r="86" ht="15.75" customHeight="1">
      <c r="A86" s="4" t="s">
        <v>8</v>
      </c>
      <c r="B86" s="7">
        <v>45440.0</v>
      </c>
      <c r="C86" s="4" t="s">
        <v>49</v>
      </c>
      <c r="D86" s="4" t="s">
        <v>46</v>
      </c>
      <c r="E86" s="8">
        <v>70.0</v>
      </c>
      <c r="F86" s="4" t="str">
        <f t="shared" si="1"/>
        <v>500 &amp; Below</v>
      </c>
    </row>
    <row r="87" ht="15.75" customHeight="1">
      <c r="A87" s="4" t="s">
        <v>8</v>
      </c>
      <c r="B87" s="7">
        <v>45441.0</v>
      </c>
      <c r="C87" s="4" t="s">
        <v>49</v>
      </c>
      <c r="D87" s="4" t="s">
        <v>73</v>
      </c>
      <c r="E87" s="8">
        <v>1000.0</v>
      </c>
      <c r="F87" s="4" t="str">
        <f t="shared" si="1"/>
        <v>Above 500</v>
      </c>
    </row>
    <row r="88" ht="15.75" customHeight="1">
      <c r="A88" s="4" t="s">
        <v>8</v>
      </c>
      <c r="B88" s="7">
        <v>45442.0</v>
      </c>
      <c r="C88" s="4" t="s">
        <v>49</v>
      </c>
      <c r="D88" s="4" t="s">
        <v>32</v>
      </c>
      <c r="E88" s="8">
        <v>455.0</v>
      </c>
      <c r="F88" s="4" t="str">
        <f t="shared" si="1"/>
        <v>500 &amp; Below</v>
      </c>
    </row>
    <row r="89" ht="15.75" customHeight="1">
      <c r="A89" s="4" t="s">
        <v>8</v>
      </c>
      <c r="B89" s="7">
        <v>45442.0</v>
      </c>
      <c r="C89" s="4" t="s">
        <v>49</v>
      </c>
      <c r="D89" s="4" t="s">
        <v>74</v>
      </c>
      <c r="E89" s="8">
        <v>80.0</v>
      </c>
      <c r="F89" s="4" t="str">
        <f t="shared" si="1"/>
        <v>500 &amp; Below</v>
      </c>
    </row>
    <row r="90" ht="15.75" customHeight="1">
      <c r="A90" s="4" t="s">
        <v>8</v>
      </c>
      <c r="B90" s="7">
        <v>45442.0</v>
      </c>
      <c r="C90" s="4" t="s">
        <v>49</v>
      </c>
      <c r="D90" s="4" t="s">
        <v>74</v>
      </c>
      <c r="E90" s="8">
        <v>40.0</v>
      </c>
      <c r="F90" s="4" t="str">
        <f t="shared" si="1"/>
        <v>500 &amp; Below</v>
      </c>
    </row>
    <row r="91" ht="15.75" customHeight="1">
      <c r="A91" s="4" t="s">
        <v>8</v>
      </c>
      <c r="B91" s="7">
        <v>45442.0</v>
      </c>
      <c r="C91" s="4" t="s">
        <v>49</v>
      </c>
      <c r="D91" s="4" t="s">
        <v>75</v>
      </c>
      <c r="E91" s="8">
        <v>10.0</v>
      </c>
      <c r="F91" s="4" t="str">
        <f t="shared" si="1"/>
        <v>500 &amp; Below</v>
      </c>
    </row>
    <row r="92" ht="15.75" customHeight="1">
      <c r="A92" s="4" t="s">
        <v>8</v>
      </c>
      <c r="B92" s="7">
        <v>45442.0</v>
      </c>
      <c r="C92" s="4" t="s">
        <v>49</v>
      </c>
      <c r="D92" s="4" t="s">
        <v>39</v>
      </c>
      <c r="E92" s="8">
        <v>70.0</v>
      </c>
      <c r="F92" s="4" t="str">
        <f t="shared" si="1"/>
        <v>500 &amp; Below</v>
      </c>
    </row>
    <row r="93" ht="15.75" customHeight="1">
      <c r="A93" s="4" t="s">
        <v>8</v>
      </c>
      <c r="B93" s="7">
        <v>45443.0</v>
      </c>
      <c r="C93" s="4" t="s">
        <v>49</v>
      </c>
      <c r="D93" s="4" t="s">
        <v>76</v>
      </c>
      <c r="E93" s="8">
        <v>20.0</v>
      </c>
      <c r="F93" s="4" t="str">
        <f t="shared" si="1"/>
        <v>500 &amp; Below</v>
      </c>
    </row>
    <row r="94" ht="15.75" customHeight="1">
      <c r="A94" s="4" t="s">
        <v>8</v>
      </c>
      <c r="B94" s="7">
        <v>45444.0</v>
      </c>
      <c r="C94" s="4" t="s">
        <v>63</v>
      </c>
      <c r="D94" s="4" t="s">
        <v>77</v>
      </c>
      <c r="E94" s="8">
        <v>593.58</v>
      </c>
      <c r="F94" s="4" t="str">
        <f t="shared" si="1"/>
        <v>Above 500</v>
      </c>
    </row>
    <row r="95" ht="15.75" customHeight="1">
      <c r="A95" s="4" t="s">
        <v>8</v>
      </c>
      <c r="B95" s="7">
        <v>45445.0</v>
      </c>
      <c r="C95" s="4" t="s">
        <v>63</v>
      </c>
      <c r="D95" s="4" t="s">
        <v>62</v>
      </c>
      <c r="E95" s="8">
        <v>100.0</v>
      </c>
      <c r="F95" s="4" t="str">
        <f t="shared" si="1"/>
        <v>500 &amp; Below</v>
      </c>
    </row>
    <row r="96" ht="15.75" customHeight="1">
      <c r="A96" s="4" t="s">
        <v>8</v>
      </c>
      <c r="B96" s="7">
        <v>45445.0</v>
      </c>
      <c r="C96" s="4" t="s">
        <v>63</v>
      </c>
      <c r="D96" s="4" t="s">
        <v>78</v>
      </c>
      <c r="E96" s="8">
        <v>631.0</v>
      </c>
      <c r="F96" s="4" t="str">
        <f t="shared" si="1"/>
        <v>Above 500</v>
      </c>
    </row>
    <row r="97" ht="15.75" customHeight="1">
      <c r="A97" s="4" t="s">
        <v>8</v>
      </c>
      <c r="B97" s="7">
        <v>45446.0</v>
      </c>
      <c r="C97" s="4" t="s">
        <v>63</v>
      </c>
      <c r="D97" s="4" t="s">
        <v>27</v>
      </c>
      <c r="E97" s="8">
        <v>300.0</v>
      </c>
      <c r="F97" s="4" t="str">
        <f t="shared" si="1"/>
        <v>500 &amp; Below</v>
      </c>
    </row>
    <row r="98" ht="15.75" customHeight="1">
      <c r="A98" s="4" t="s">
        <v>8</v>
      </c>
      <c r="B98" s="7">
        <v>45446.0</v>
      </c>
      <c r="C98" s="4" t="s">
        <v>63</v>
      </c>
      <c r="D98" s="4" t="s">
        <v>18</v>
      </c>
      <c r="E98" s="8">
        <v>246.8</v>
      </c>
      <c r="F98" s="4" t="str">
        <f t="shared" si="1"/>
        <v>500 &amp; Below</v>
      </c>
    </row>
    <row r="99" ht="15.75" customHeight="1">
      <c r="A99" s="4" t="s">
        <v>8</v>
      </c>
      <c r="B99" s="7">
        <v>45447.0</v>
      </c>
      <c r="C99" s="4" t="s">
        <v>63</v>
      </c>
      <c r="D99" s="4" t="s">
        <v>79</v>
      </c>
      <c r="E99" s="8">
        <v>35.0</v>
      </c>
      <c r="F99" s="4" t="str">
        <f t="shared" si="1"/>
        <v>500 &amp; Below</v>
      </c>
    </row>
    <row r="100" ht="15.75" customHeight="1">
      <c r="A100" s="4" t="s">
        <v>8</v>
      </c>
      <c r="B100" s="7">
        <v>45448.0</v>
      </c>
      <c r="C100" s="4" t="s">
        <v>63</v>
      </c>
      <c r="D100" s="4" t="s">
        <v>80</v>
      </c>
      <c r="E100" s="8">
        <v>30.0</v>
      </c>
      <c r="F100" s="4" t="str">
        <f t="shared" si="1"/>
        <v>500 &amp; Below</v>
      </c>
    </row>
    <row r="101" ht="15.75" customHeight="1">
      <c r="A101" s="4" t="s">
        <v>8</v>
      </c>
      <c r="B101" s="7">
        <v>45448.0</v>
      </c>
      <c r="C101" s="4" t="s">
        <v>63</v>
      </c>
      <c r="D101" s="4" t="s">
        <v>81</v>
      </c>
      <c r="E101" s="8">
        <v>1062.0</v>
      </c>
      <c r="F101" s="4" t="str">
        <f t="shared" si="1"/>
        <v>Above 500</v>
      </c>
    </row>
    <row r="102" ht="15.75" customHeight="1">
      <c r="A102" s="4" t="s">
        <v>8</v>
      </c>
      <c r="B102" s="7">
        <v>45448.0</v>
      </c>
      <c r="C102" s="4" t="s">
        <v>63</v>
      </c>
      <c r="D102" s="4" t="s">
        <v>82</v>
      </c>
      <c r="E102" s="8">
        <v>1150.0</v>
      </c>
      <c r="F102" s="4" t="str">
        <f t="shared" si="1"/>
        <v>Above 500</v>
      </c>
    </row>
    <row r="103" ht="15.75" customHeight="1">
      <c r="A103" s="4" t="s">
        <v>8</v>
      </c>
      <c r="B103" s="7">
        <v>45448.0</v>
      </c>
      <c r="C103" s="4" t="s">
        <v>63</v>
      </c>
      <c r="D103" s="4" t="s">
        <v>84</v>
      </c>
      <c r="E103" s="8">
        <v>320.0</v>
      </c>
      <c r="F103" s="4" t="str">
        <f t="shared" si="1"/>
        <v>500 &amp; Below</v>
      </c>
    </row>
    <row r="104" ht="15.75" customHeight="1">
      <c r="A104" s="4" t="s">
        <v>8</v>
      </c>
      <c r="B104" s="7">
        <v>45448.0</v>
      </c>
      <c r="C104" s="4" t="s">
        <v>63</v>
      </c>
      <c r="D104" s="4" t="s">
        <v>85</v>
      </c>
      <c r="E104" s="8">
        <v>40.0</v>
      </c>
      <c r="F104" s="4" t="str">
        <f t="shared" si="1"/>
        <v>500 &amp; Below</v>
      </c>
    </row>
    <row r="105" ht="15.75" customHeight="1">
      <c r="A105" s="4" t="s">
        <v>8</v>
      </c>
      <c r="B105" s="7">
        <v>45448.0</v>
      </c>
      <c r="C105" s="4" t="s">
        <v>63</v>
      </c>
      <c r="D105" s="4" t="s">
        <v>85</v>
      </c>
      <c r="E105" s="8">
        <v>10.0</v>
      </c>
      <c r="F105" s="4" t="str">
        <f t="shared" si="1"/>
        <v>500 &amp; Below</v>
      </c>
    </row>
    <row r="106" ht="15.75" customHeight="1">
      <c r="A106" s="4" t="s">
        <v>8</v>
      </c>
      <c r="B106" s="7">
        <v>45449.0</v>
      </c>
      <c r="C106" s="4" t="s">
        <v>63</v>
      </c>
      <c r="D106" s="4" t="s">
        <v>86</v>
      </c>
      <c r="E106" s="8">
        <v>300.0</v>
      </c>
      <c r="F106" s="4" t="str">
        <f t="shared" si="1"/>
        <v>500 &amp; Below</v>
      </c>
    </row>
    <row r="107" ht="15.75" customHeight="1">
      <c r="A107" s="4" t="s">
        <v>8</v>
      </c>
      <c r="B107" s="7">
        <v>45450.0</v>
      </c>
      <c r="C107" s="4" t="s">
        <v>63</v>
      </c>
      <c r="D107" s="4" t="s">
        <v>87</v>
      </c>
      <c r="E107" s="8">
        <v>150.0</v>
      </c>
      <c r="F107" s="4" t="str">
        <f t="shared" si="1"/>
        <v>500 &amp; Below</v>
      </c>
    </row>
    <row r="108" ht="15.75" customHeight="1">
      <c r="A108" s="4" t="s">
        <v>8</v>
      </c>
      <c r="B108" s="7">
        <v>45450.0</v>
      </c>
      <c r="C108" s="4" t="s">
        <v>63</v>
      </c>
      <c r="D108" s="4" t="s">
        <v>88</v>
      </c>
      <c r="E108" s="8">
        <v>90.0</v>
      </c>
      <c r="F108" s="4" t="str">
        <f t="shared" si="1"/>
        <v>500 &amp; Below</v>
      </c>
    </row>
    <row r="109" ht="15.75" customHeight="1">
      <c r="A109" s="4" t="s">
        <v>8</v>
      </c>
      <c r="B109" s="7">
        <v>45450.0</v>
      </c>
      <c r="C109" s="4" t="s">
        <v>63</v>
      </c>
      <c r="D109" s="4" t="s">
        <v>89</v>
      </c>
      <c r="E109" s="8">
        <v>457.0</v>
      </c>
      <c r="F109" s="4" t="str">
        <f t="shared" si="1"/>
        <v>500 &amp; Below</v>
      </c>
    </row>
    <row r="110" ht="15.75" customHeight="1">
      <c r="A110" s="4" t="s">
        <v>8</v>
      </c>
      <c r="B110" s="7">
        <v>45451.0</v>
      </c>
      <c r="C110" s="4" t="s">
        <v>63</v>
      </c>
      <c r="D110" s="4" t="s">
        <v>86</v>
      </c>
      <c r="E110" s="8">
        <v>405.0</v>
      </c>
      <c r="F110" s="4" t="str">
        <f t="shared" si="1"/>
        <v>500 &amp; Below</v>
      </c>
    </row>
    <row r="111" ht="15.75" customHeight="1">
      <c r="A111" s="4" t="s">
        <v>8</v>
      </c>
      <c r="B111" s="7">
        <v>45451.0</v>
      </c>
      <c r="C111" s="4" t="s">
        <v>63</v>
      </c>
      <c r="D111" s="4" t="s">
        <v>90</v>
      </c>
      <c r="E111" s="8">
        <v>120.0</v>
      </c>
      <c r="F111" s="4" t="str">
        <f t="shared" si="1"/>
        <v>500 &amp; Below</v>
      </c>
    </row>
    <row r="112" ht="15.75" customHeight="1">
      <c r="A112" s="4" t="s">
        <v>8</v>
      </c>
      <c r="B112" s="7">
        <v>45451.0</v>
      </c>
      <c r="C112" s="4" t="s">
        <v>63</v>
      </c>
      <c r="D112" s="4" t="s">
        <v>91</v>
      </c>
      <c r="E112" s="8">
        <v>210.0</v>
      </c>
      <c r="F112" s="4" t="str">
        <f t="shared" si="1"/>
        <v>500 &amp; Below</v>
      </c>
    </row>
    <row r="113" ht="15.75" customHeight="1">
      <c r="A113" s="4" t="s">
        <v>8</v>
      </c>
      <c r="B113" s="7">
        <v>45451.0</v>
      </c>
      <c r="C113" s="4" t="s">
        <v>63</v>
      </c>
      <c r="D113" s="4" t="s">
        <v>92</v>
      </c>
      <c r="E113" s="8">
        <v>300.0</v>
      </c>
      <c r="F113" s="4" t="str">
        <f t="shared" si="1"/>
        <v>500 &amp; Below</v>
      </c>
    </row>
    <row r="114" ht="15.75" customHeight="1">
      <c r="A114" s="4" t="s">
        <v>8</v>
      </c>
      <c r="B114" s="7">
        <v>45451.0</v>
      </c>
      <c r="C114" s="4" t="s">
        <v>63</v>
      </c>
      <c r="D114" s="4" t="s">
        <v>93</v>
      </c>
      <c r="E114" s="8">
        <v>45.0</v>
      </c>
      <c r="F114" s="4" t="str">
        <f t="shared" si="1"/>
        <v>500 &amp; Below</v>
      </c>
    </row>
    <row r="115" ht="15.75" customHeight="1">
      <c r="A115" s="4" t="s">
        <v>8</v>
      </c>
      <c r="B115" s="7">
        <v>45452.0</v>
      </c>
      <c r="C115" s="4" t="s">
        <v>63</v>
      </c>
      <c r="D115" s="4" t="s">
        <v>69</v>
      </c>
      <c r="E115" s="8">
        <v>329.0</v>
      </c>
      <c r="F115" s="4" t="str">
        <f t="shared" si="1"/>
        <v>500 &amp; Below</v>
      </c>
    </row>
    <row r="116" ht="15.75" customHeight="1">
      <c r="A116" s="4" t="s">
        <v>8</v>
      </c>
      <c r="B116" s="7">
        <v>45452.0</v>
      </c>
      <c r="C116" s="4" t="s">
        <v>63</v>
      </c>
      <c r="D116" s="4" t="s">
        <v>25</v>
      </c>
      <c r="E116" s="8">
        <v>45.0</v>
      </c>
      <c r="F116" s="4" t="str">
        <f t="shared" si="1"/>
        <v>500 &amp; Below</v>
      </c>
    </row>
    <row r="117" ht="15.75" customHeight="1">
      <c r="A117" s="4" t="s">
        <v>8</v>
      </c>
      <c r="B117" s="7">
        <v>45452.0</v>
      </c>
      <c r="C117" s="4" t="s">
        <v>63</v>
      </c>
      <c r="D117" s="4" t="s">
        <v>32</v>
      </c>
      <c r="E117" s="8">
        <v>265.0</v>
      </c>
      <c r="F117" s="4" t="str">
        <f t="shared" si="1"/>
        <v>500 &amp; Below</v>
      </c>
    </row>
    <row r="118" ht="15.75" customHeight="1">
      <c r="A118" s="4" t="s">
        <v>8</v>
      </c>
      <c r="B118" s="7">
        <v>45452.0</v>
      </c>
      <c r="C118" s="4" t="s">
        <v>63</v>
      </c>
      <c r="D118" s="4" t="s">
        <v>94</v>
      </c>
      <c r="E118" s="8">
        <v>100.0</v>
      </c>
      <c r="F118" s="4" t="str">
        <f t="shared" si="1"/>
        <v>500 &amp; Below</v>
      </c>
    </row>
    <row r="119" ht="15.75" customHeight="1">
      <c r="A119" s="4" t="s">
        <v>8</v>
      </c>
      <c r="B119" s="7">
        <v>45452.0</v>
      </c>
      <c r="C119" s="4" t="s">
        <v>63</v>
      </c>
      <c r="D119" s="4" t="s">
        <v>45</v>
      </c>
      <c r="E119" s="8">
        <v>1092.0</v>
      </c>
      <c r="F119" s="4" t="str">
        <f t="shared" si="1"/>
        <v>Above 500</v>
      </c>
    </row>
    <row r="120" ht="15.75" customHeight="1">
      <c r="A120" s="4" t="s">
        <v>8</v>
      </c>
      <c r="B120" s="7">
        <v>45452.0</v>
      </c>
      <c r="C120" s="4" t="s">
        <v>63</v>
      </c>
      <c r="D120" s="4" t="s">
        <v>96</v>
      </c>
      <c r="E120" s="8">
        <v>150.0</v>
      </c>
      <c r="F120" s="4" t="str">
        <f t="shared" si="1"/>
        <v>500 &amp; Below</v>
      </c>
    </row>
    <row r="121" ht="15.75" customHeight="1">
      <c r="A121" s="4" t="s">
        <v>8</v>
      </c>
      <c r="B121" s="7">
        <v>45452.0</v>
      </c>
      <c r="C121" s="4" t="s">
        <v>63</v>
      </c>
      <c r="D121" s="4" t="s">
        <v>75</v>
      </c>
      <c r="E121" s="8">
        <v>40.0</v>
      </c>
      <c r="F121" s="4" t="str">
        <f t="shared" si="1"/>
        <v>500 &amp; Below</v>
      </c>
    </row>
    <row r="122" ht="15.75" customHeight="1">
      <c r="A122" s="4" t="s">
        <v>8</v>
      </c>
      <c r="B122" s="7">
        <v>45452.0</v>
      </c>
      <c r="C122" s="4" t="s">
        <v>63</v>
      </c>
      <c r="D122" s="4" t="s">
        <v>48</v>
      </c>
      <c r="E122" s="8">
        <v>457.0</v>
      </c>
      <c r="F122" s="4" t="str">
        <f t="shared" si="1"/>
        <v>500 &amp; Below</v>
      </c>
    </row>
    <row r="123" ht="15.75" customHeight="1">
      <c r="A123" s="4" t="s">
        <v>8</v>
      </c>
      <c r="B123" s="7">
        <v>45453.0</v>
      </c>
      <c r="C123" s="4" t="s">
        <v>63</v>
      </c>
      <c r="D123" s="4" t="s">
        <v>27</v>
      </c>
      <c r="E123" s="8">
        <v>500.0</v>
      </c>
      <c r="F123" s="4" t="str">
        <f t="shared" si="1"/>
        <v>500 &amp; Below</v>
      </c>
    </row>
    <row r="124" ht="15.75" customHeight="1">
      <c r="A124" s="4" t="s">
        <v>8</v>
      </c>
      <c r="B124" s="7">
        <v>45453.0</v>
      </c>
      <c r="C124" s="4" t="s">
        <v>63</v>
      </c>
      <c r="D124" s="4" t="s">
        <v>97</v>
      </c>
      <c r="E124" s="8">
        <v>310.0</v>
      </c>
      <c r="F124" s="4" t="str">
        <f t="shared" si="1"/>
        <v>500 &amp; Below</v>
      </c>
    </row>
    <row r="125" ht="15.75" customHeight="1">
      <c r="A125" s="4" t="s">
        <v>8</v>
      </c>
      <c r="B125" s="7">
        <v>45454.0</v>
      </c>
      <c r="C125" s="4" t="s">
        <v>63</v>
      </c>
      <c r="D125" s="4" t="s">
        <v>98</v>
      </c>
      <c r="E125" s="8">
        <v>15.0</v>
      </c>
      <c r="F125" s="4" t="str">
        <f t="shared" si="1"/>
        <v>500 &amp; Below</v>
      </c>
    </row>
    <row r="126" ht="15.75" customHeight="1">
      <c r="A126" s="4" t="s">
        <v>8</v>
      </c>
      <c r="B126" s="7">
        <v>45455.0</v>
      </c>
      <c r="C126" s="4" t="s">
        <v>63</v>
      </c>
      <c r="D126" s="4" t="s">
        <v>37</v>
      </c>
      <c r="E126" s="8">
        <v>19.0</v>
      </c>
      <c r="F126" s="4" t="str">
        <f t="shared" si="1"/>
        <v>500 &amp; Below</v>
      </c>
    </row>
    <row r="127" ht="15.75" customHeight="1">
      <c r="A127" s="4" t="s">
        <v>8</v>
      </c>
      <c r="B127" s="7">
        <v>45455.0</v>
      </c>
      <c r="C127" s="4" t="s">
        <v>63</v>
      </c>
      <c r="D127" s="4" t="s">
        <v>27</v>
      </c>
      <c r="E127" s="8">
        <v>500.0</v>
      </c>
      <c r="F127" s="4" t="str">
        <f t="shared" si="1"/>
        <v>500 &amp; Below</v>
      </c>
    </row>
    <row r="128" ht="15.75" customHeight="1">
      <c r="A128" s="4" t="s">
        <v>8</v>
      </c>
      <c r="B128" s="7">
        <v>45456.0</v>
      </c>
      <c r="C128" s="4" t="s">
        <v>63</v>
      </c>
      <c r="D128" s="4" t="s">
        <v>36</v>
      </c>
      <c r="E128" s="8">
        <v>2751.0</v>
      </c>
      <c r="F128" s="4" t="str">
        <f t="shared" si="1"/>
        <v>Above 500</v>
      </c>
    </row>
    <row r="129" ht="15.75" customHeight="1">
      <c r="A129" s="4" t="s">
        <v>8</v>
      </c>
      <c r="B129" s="7">
        <v>45456.0</v>
      </c>
      <c r="C129" s="4" t="s">
        <v>63</v>
      </c>
      <c r="D129" s="4" t="s">
        <v>36</v>
      </c>
      <c r="E129" s="8">
        <v>4395.0</v>
      </c>
      <c r="F129" s="4" t="str">
        <f t="shared" si="1"/>
        <v>Above 500</v>
      </c>
    </row>
    <row r="130" ht="15.75" customHeight="1">
      <c r="A130" s="4" t="s">
        <v>8</v>
      </c>
      <c r="B130" s="7">
        <v>45457.0</v>
      </c>
      <c r="C130" s="4" t="s">
        <v>63</v>
      </c>
      <c r="D130" s="4" t="s">
        <v>36</v>
      </c>
      <c r="E130" s="8">
        <v>4234.0</v>
      </c>
      <c r="F130" s="4" t="str">
        <f t="shared" si="1"/>
        <v>Above 500</v>
      </c>
    </row>
    <row r="131" ht="15.75" customHeight="1">
      <c r="A131" s="4" t="s">
        <v>8</v>
      </c>
      <c r="B131" s="7">
        <v>45458.0</v>
      </c>
      <c r="C131" s="4" t="s">
        <v>63</v>
      </c>
      <c r="D131" s="4" t="s">
        <v>18</v>
      </c>
      <c r="E131" s="8">
        <v>56.0</v>
      </c>
      <c r="F131" s="4" t="str">
        <f t="shared" si="1"/>
        <v>500 &amp; Below</v>
      </c>
    </row>
    <row r="132" ht="15.75" customHeight="1">
      <c r="A132" s="4" t="s">
        <v>8</v>
      </c>
      <c r="B132" s="7">
        <v>45458.0</v>
      </c>
      <c r="C132" s="4" t="s">
        <v>63</v>
      </c>
      <c r="D132" s="4" t="s">
        <v>99</v>
      </c>
      <c r="E132" s="8">
        <v>235.0</v>
      </c>
      <c r="F132" s="4" t="str">
        <f t="shared" si="1"/>
        <v>500 &amp; Below</v>
      </c>
    </row>
    <row r="133" ht="15.75" customHeight="1">
      <c r="A133" s="4" t="s">
        <v>8</v>
      </c>
      <c r="B133" s="7">
        <v>45459.0</v>
      </c>
      <c r="C133" s="4" t="s">
        <v>63</v>
      </c>
      <c r="D133" s="4" t="s">
        <v>25</v>
      </c>
      <c r="E133" s="8">
        <v>30.0</v>
      </c>
      <c r="F133" s="4" t="str">
        <f t="shared" si="1"/>
        <v>500 &amp; Below</v>
      </c>
    </row>
    <row r="134" ht="15.75" customHeight="1">
      <c r="A134" s="4" t="s">
        <v>8</v>
      </c>
      <c r="B134" s="7">
        <v>45459.0</v>
      </c>
      <c r="C134" s="4" t="s">
        <v>63</v>
      </c>
      <c r="D134" s="4" t="s">
        <v>101</v>
      </c>
      <c r="E134" s="8">
        <v>150.0</v>
      </c>
      <c r="F134" s="4" t="str">
        <f t="shared" si="1"/>
        <v>500 &amp; Below</v>
      </c>
    </row>
    <row r="135" ht="15.75" customHeight="1">
      <c r="A135" s="4" t="s">
        <v>8</v>
      </c>
      <c r="B135" s="7">
        <v>45459.0</v>
      </c>
      <c r="C135" s="4" t="s">
        <v>63</v>
      </c>
      <c r="D135" s="4" t="s">
        <v>25</v>
      </c>
      <c r="E135" s="8">
        <v>15.0</v>
      </c>
      <c r="F135" s="4" t="str">
        <f t="shared" si="1"/>
        <v>500 &amp; Below</v>
      </c>
    </row>
    <row r="136" ht="15.75" customHeight="1">
      <c r="A136" s="4" t="s">
        <v>8</v>
      </c>
      <c r="B136" s="7">
        <v>45459.0</v>
      </c>
      <c r="C136" s="4" t="s">
        <v>63</v>
      </c>
      <c r="D136" s="4" t="s">
        <v>64</v>
      </c>
      <c r="E136" s="8">
        <v>1060.0</v>
      </c>
      <c r="F136" s="4" t="str">
        <f t="shared" si="1"/>
        <v>Above 500</v>
      </c>
    </row>
    <row r="137" ht="15.75" customHeight="1">
      <c r="A137" s="4" t="s">
        <v>8</v>
      </c>
      <c r="B137" s="7">
        <v>45459.0</v>
      </c>
      <c r="C137" s="4" t="s">
        <v>63</v>
      </c>
      <c r="D137" s="4" t="s">
        <v>45</v>
      </c>
      <c r="E137" s="8">
        <v>851.0</v>
      </c>
      <c r="F137" s="4" t="str">
        <f t="shared" si="1"/>
        <v>Above 500</v>
      </c>
    </row>
    <row r="138" ht="15.75" customHeight="1">
      <c r="A138" s="4" t="s">
        <v>8</v>
      </c>
      <c r="B138" s="7">
        <v>45459.0</v>
      </c>
      <c r="C138" s="4" t="s">
        <v>63</v>
      </c>
      <c r="D138" s="4" t="s">
        <v>25</v>
      </c>
      <c r="E138" s="8">
        <v>30.0</v>
      </c>
      <c r="F138" s="4" t="str">
        <f t="shared" si="1"/>
        <v>500 &amp; Below</v>
      </c>
    </row>
    <row r="139" ht="15.75" customHeight="1">
      <c r="A139" s="4" t="s">
        <v>8</v>
      </c>
      <c r="B139" s="7">
        <v>45460.0</v>
      </c>
      <c r="C139" s="4" t="s">
        <v>63</v>
      </c>
      <c r="D139" s="4" t="s">
        <v>40</v>
      </c>
      <c r="E139" s="8">
        <v>100.0</v>
      </c>
      <c r="F139" s="4" t="str">
        <f t="shared" si="1"/>
        <v>500 &amp; Below</v>
      </c>
    </row>
    <row r="140" ht="15.75" customHeight="1">
      <c r="A140" s="4" t="s">
        <v>8</v>
      </c>
      <c r="B140" s="7">
        <v>45460.0</v>
      </c>
      <c r="C140" s="4" t="s">
        <v>63</v>
      </c>
      <c r="D140" s="4" t="s">
        <v>47</v>
      </c>
      <c r="E140" s="8">
        <v>40.0</v>
      </c>
      <c r="F140" s="4" t="str">
        <f t="shared" si="1"/>
        <v>500 &amp; Below</v>
      </c>
    </row>
    <row r="141" ht="15.75" customHeight="1">
      <c r="A141" s="4" t="s">
        <v>8</v>
      </c>
      <c r="B141" s="7">
        <v>45460.0</v>
      </c>
      <c r="C141" s="4" t="s">
        <v>63</v>
      </c>
      <c r="D141" s="4" t="s">
        <v>102</v>
      </c>
      <c r="E141" s="8">
        <v>20.0</v>
      </c>
      <c r="F141" s="4" t="str">
        <f t="shared" si="1"/>
        <v>500 &amp; Below</v>
      </c>
    </row>
    <row r="142" ht="15.75" customHeight="1">
      <c r="A142" s="4" t="s">
        <v>8</v>
      </c>
      <c r="B142" s="7">
        <v>45461.0</v>
      </c>
      <c r="C142" s="4" t="s">
        <v>63</v>
      </c>
      <c r="D142" s="4" t="s">
        <v>103</v>
      </c>
      <c r="E142" s="8">
        <v>130.0</v>
      </c>
      <c r="F142" s="4" t="str">
        <f t="shared" si="1"/>
        <v>500 &amp; Below</v>
      </c>
    </row>
    <row r="143" ht="15.75" customHeight="1">
      <c r="A143" s="4" t="s">
        <v>8</v>
      </c>
      <c r="B143" s="7">
        <v>45461.0</v>
      </c>
      <c r="C143" s="4" t="s">
        <v>63</v>
      </c>
      <c r="D143" s="4" t="s">
        <v>104</v>
      </c>
      <c r="E143" s="8">
        <v>10.0</v>
      </c>
      <c r="F143" s="4" t="str">
        <f t="shared" si="1"/>
        <v>500 &amp; Below</v>
      </c>
    </row>
    <row r="144" ht="15.75" customHeight="1">
      <c r="A144" s="4" t="s">
        <v>8</v>
      </c>
      <c r="B144" s="7">
        <v>45461.0</v>
      </c>
      <c r="C144" s="4" t="s">
        <v>63</v>
      </c>
      <c r="D144" s="4" t="s">
        <v>105</v>
      </c>
      <c r="E144" s="8">
        <v>2857.0</v>
      </c>
      <c r="F144" s="4" t="str">
        <f t="shared" si="1"/>
        <v>Above 500</v>
      </c>
    </row>
    <row r="145" ht="15.75" customHeight="1">
      <c r="A145" s="4" t="s">
        <v>8</v>
      </c>
      <c r="B145" s="7">
        <v>45461.0</v>
      </c>
      <c r="C145" s="4" t="s">
        <v>63</v>
      </c>
      <c r="D145" s="4" t="s">
        <v>106</v>
      </c>
      <c r="E145" s="8">
        <v>40.0</v>
      </c>
      <c r="F145" s="4" t="str">
        <f t="shared" si="1"/>
        <v>500 &amp; Below</v>
      </c>
    </row>
    <row r="146" ht="15.75" customHeight="1">
      <c r="A146" s="4" t="s">
        <v>8</v>
      </c>
      <c r="B146" s="7">
        <v>45461.0</v>
      </c>
      <c r="C146" s="4" t="s">
        <v>63</v>
      </c>
      <c r="D146" s="4" t="s">
        <v>107</v>
      </c>
      <c r="E146" s="8">
        <v>50.0</v>
      </c>
      <c r="F146" s="4" t="str">
        <f t="shared" si="1"/>
        <v>500 &amp; Below</v>
      </c>
    </row>
    <row r="147" ht="15.75" customHeight="1">
      <c r="A147" s="4" t="s">
        <v>8</v>
      </c>
      <c r="B147" s="7">
        <v>45462.0</v>
      </c>
      <c r="C147" s="4" t="s">
        <v>63</v>
      </c>
      <c r="D147" s="4" t="s">
        <v>69</v>
      </c>
      <c r="E147" s="8">
        <v>118.0</v>
      </c>
      <c r="F147" s="4" t="str">
        <f t="shared" si="1"/>
        <v>500 &amp; Below</v>
      </c>
    </row>
    <row r="148" ht="15.75" customHeight="1">
      <c r="A148" s="4" t="s">
        <v>8</v>
      </c>
      <c r="B148" s="7">
        <v>45463.0</v>
      </c>
      <c r="C148" s="4" t="s">
        <v>63</v>
      </c>
      <c r="D148" s="4" t="s">
        <v>27</v>
      </c>
      <c r="E148" s="8">
        <v>1500.0</v>
      </c>
      <c r="F148" s="4" t="str">
        <f t="shared" si="1"/>
        <v>Above 500</v>
      </c>
    </row>
    <row r="149" ht="15.75" customHeight="1">
      <c r="A149" s="4" t="s">
        <v>8</v>
      </c>
      <c r="B149" s="7">
        <v>45464.0</v>
      </c>
      <c r="C149" s="4" t="s">
        <v>63</v>
      </c>
      <c r="D149" s="4" t="s">
        <v>108</v>
      </c>
      <c r="E149" s="8">
        <v>12.0</v>
      </c>
      <c r="F149" s="4" t="str">
        <f t="shared" si="1"/>
        <v>500 &amp; Below</v>
      </c>
    </row>
    <row r="150" ht="15.75" customHeight="1">
      <c r="A150" s="4" t="s">
        <v>8</v>
      </c>
      <c r="B150" s="7">
        <v>45464.0</v>
      </c>
      <c r="C150" s="4" t="s">
        <v>63</v>
      </c>
      <c r="D150" s="4" t="s">
        <v>57</v>
      </c>
      <c r="E150" s="8">
        <v>10.0</v>
      </c>
      <c r="F150" s="4" t="str">
        <f t="shared" si="1"/>
        <v>500 &amp; Below</v>
      </c>
    </row>
    <row r="151" ht="15.75" customHeight="1">
      <c r="A151" s="4" t="s">
        <v>8</v>
      </c>
      <c r="B151" s="7">
        <v>45464.0</v>
      </c>
      <c r="C151" s="4" t="s">
        <v>63</v>
      </c>
      <c r="D151" s="4" t="s">
        <v>110</v>
      </c>
      <c r="E151" s="8">
        <v>114.0</v>
      </c>
      <c r="F151" s="4" t="str">
        <f t="shared" si="1"/>
        <v>500 &amp; Below</v>
      </c>
    </row>
    <row r="152" ht="15.75" customHeight="1">
      <c r="A152" s="4" t="s">
        <v>8</v>
      </c>
      <c r="B152" s="7">
        <v>45464.0</v>
      </c>
      <c r="C152" s="4" t="s">
        <v>63</v>
      </c>
      <c r="D152" s="4" t="s">
        <v>64</v>
      </c>
      <c r="E152" s="8">
        <v>1130.0</v>
      </c>
      <c r="F152" s="4" t="str">
        <f t="shared" si="1"/>
        <v>Above 500</v>
      </c>
    </row>
    <row r="153" ht="15.75" customHeight="1">
      <c r="A153" s="4" t="s">
        <v>8</v>
      </c>
      <c r="B153" s="7">
        <v>45464.0</v>
      </c>
      <c r="C153" s="4" t="s">
        <v>63</v>
      </c>
      <c r="D153" s="4" t="s">
        <v>45</v>
      </c>
      <c r="E153" s="8">
        <v>945.0</v>
      </c>
      <c r="F153" s="4" t="str">
        <f t="shared" si="1"/>
        <v>Above 500</v>
      </c>
    </row>
    <row r="154" ht="15.75" customHeight="1">
      <c r="A154" s="4" t="s">
        <v>8</v>
      </c>
      <c r="B154" s="7">
        <v>45464.0</v>
      </c>
      <c r="C154" s="4" t="s">
        <v>63</v>
      </c>
      <c r="D154" s="4" t="s">
        <v>111</v>
      </c>
      <c r="E154" s="8">
        <v>150.0</v>
      </c>
      <c r="F154" s="4" t="str">
        <f t="shared" si="1"/>
        <v>500 &amp; Below</v>
      </c>
    </row>
    <row r="155" ht="15.75" customHeight="1">
      <c r="A155" s="4" t="s">
        <v>8</v>
      </c>
      <c r="B155" s="7">
        <v>45465.0</v>
      </c>
      <c r="C155" s="4" t="s">
        <v>63</v>
      </c>
      <c r="D155" s="4" t="s">
        <v>99</v>
      </c>
      <c r="E155" s="8">
        <v>140.0</v>
      </c>
      <c r="F155" s="4" t="str">
        <f t="shared" si="1"/>
        <v>500 &amp; Below</v>
      </c>
    </row>
    <row r="156" ht="15.75" customHeight="1">
      <c r="A156" s="4" t="s">
        <v>8</v>
      </c>
      <c r="B156" s="7">
        <v>45466.0</v>
      </c>
      <c r="C156" s="4" t="s">
        <v>63</v>
      </c>
      <c r="D156" s="4" t="s">
        <v>112</v>
      </c>
      <c r="E156" s="8">
        <v>20.0</v>
      </c>
      <c r="F156" s="4" t="str">
        <f t="shared" si="1"/>
        <v>500 &amp; Below</v>
      </c>
    </row>
    <row r="157" ht="15.75" customHeight="1">
      <c r="A157" s="4" t="s">
        <v>8</v>
      </c>
      <c r="B157" s="7">
        <v>45466.0</v>
      </c>
      <c r="C157" s="4" t="s">
        <v>63</v>
      </c>
      <c r="D157" s="4" t="s">
        <v>102</v>
      </c>
      <c r="E157" s="8">
        <v>10.0</v>
      </c>
      <c r="F157" s="4" t="str">
        <f t="shared" si="1"/>
        <v>500 &amp; Below</v>
      </c>
    </row>
    <row r="158" ht="15.75" customHeight="1">
      <c r="A158" s="4" t="s">
        <v>8</v>
      </c>
      <c r="B158" s="7">
        <v>45466.0</v>
      </c>
      <c r="C158" s="4" t="s">
        <v>63</v>
      </c>
      <c r="D158" s="4" t="s">
        <v>99</v>
      </c>
      <c r="E158" s="8">
        <v>80.0</v>
      </c>
      <c r="F158" s="4" t="str">
        <f t="shared" si="1"/>
        <v>500 &amp; Below</v>
      </c>
    </row>
    <row r="159" ht="15.75" customHeight="1">
      <c r="A159" s="4" t="s">
        <v>8</v>
      </c>
      <c r="B159" s="7">
        <v>45468.0</v>
      </c>
      <c r="C159" s="4" t="s">
        <v>63</v>
      </c>
      <c r="D159" s="4" t="s">
        <v>113</v>
      </c>
      <c r="E159" s="8">
        <v>5.0</v>
      </c>
      <c r="F159" s="4" t="str">
        <f t="shared" si="1"/>
        <v>500 &amp; Below</v>
      </c>
    </row>
    <row r="160" ht="15.75" customHeight="1">
      <c r="A160" s="4" t="s">
        <v>8</v>
      </c>
      <c r="B160" s="7">
        <v>45468.0</v>
      </c>
      <c r="C160" s="4" t="s">
        <v>63</v>
      </c>
      <c r="D160" s="4" t="s">
        <v>114</v>
      </c>
      <c r="E160" s="8">
        <v>50.0</v>
      </c>
      <c r="F160" s="4" t="str">
        <f t="shared" si="1"/>
        <v>500 &amp; Below</v>
      </c>
    </row>
    <row r="161" ht="15.75" customHeight="1">
      <c r="A161" s="4" t="s">
        <v>8</v>
      </c>
      <c r="B161" s="7">
        <v>45469.0</v>
      </c>
      <c r="C161" s="4" t="s">
        <v>63</v>
      </c>
      <c r="D161" s="4" t="s">
        <v>75</v>
      </c>
      <c r="E161" s="8">
        <v>10.0</v>
      </c>
      <c r="F161" s="4" t="str">
        <f t="shared" si="1"/>
        <v>500 &amp; Below</v>
      </c>
    </row>
    <row r="162" ht="15.75" customHeight="1">
      <c r="A162" s="4" t="s">
        <v>8</v>
      </c>
      <c r="B162" s="7">
        <v>45470.0</v>
      </c>
      <c r="C162" s="4" t="s">
        <v>63</v>
      </c>
      <c r="D162" s="4" t="s">
        <v>37</v>
      </c>
      <c r="E162" s="8">
        <v>319.0</v>
      </c>
      <c r="F162" s="4" t="str">
        <f t="shared" si="1"/>
        <v>500 &amp; Below</v>
      </c>
    </row>
    <row r="163" ht="15.75" customHeight="1">
      <c r="A163" s="4" t="s">
        <v>8</v>
      </c>
      <c r="B163" s="7">
        <v>45470.0</v>
      </c>
      <c r="C163" s="4" t="s">
        <v>63</v>
      </c>
      <c r="D163" s="4" t="s">
        <v>97</v>
      </c>
      <c r="E163" s="8">
        <v>310.0</v>
      </c>
      <c r="F163" s="4" t="str">
        <f t="shared" si="1"/>
        <v>500 &amp; Below</v>
      </c>
    </row>
    <row r="164" ht="15.75" customHeight="1">
      <c r="A164" s="4" t="s">
        <v>8</v>
      </c>
      <c r="B164" s="7">
        <v>45471.0</v>
      </c>
      <c r="C164" s="4" t="s">
        <v>63</v>
      </c>
      <c r="D164" s="4" t="s">
        <v>39</v>
      </c>
      <c r="E164" s="8">
        <v>30.0</v>
      </c>
      <c r="F164" s="4" t="str">
        <f t="shared" si="1"/>
        <v>500 &amp; Below</v>
      </c>
    </row>
    <row r="165" ht="15.75" customHeight="1">
      <c r="A165" s="4" t="s">
        <v>8</v>
      </c>
      <c r="B165" s="7">
        <v>45473.0</v>
      </c>
      <c r="C165" s="4" t="s">
        <v>63</v>
      </c>
      <c r="D165" s="4" t="s">
        <v>115</v>
      </c>
      <c r="E165" s="8">
        <v>75.0</v>
      </c>
      <c r="F165" s="4" t="str">
        <f t="shared" si="1"/>
        <v>500 &amp; Below</v>
      </c>
    </row>
    <row r="166" ht="15.75" customHeight="1">
      <c r="A166" s="4" t="s">
        <v>8</v>
      </c>
      <c r="B166" s="7">
        <v>45473.0</v>
      </c>
      <c r="C166" s="4" t="s">
        <v>63</v>
      </c>
      <c r="D166" s="4" t="s">
        <v>99</v>
      </c>
      <c r="E166" s="8">
        <v>150.0</v>
      </c>
      <c r="F166" s="4" t="str">
        <f t="shared" si="1"/>
        <v>500 &amp; Below</v>
      </c>
    </row>
    <row r="167" ht="15.75" customHeight="1">
      <c r="A167" s="4" t="s">
        <v>8</v>
      </c>
      <c r="B167" s="7">
        <v>45473.0</v>
      </c>
      <c r="C167" s="4" t="s">
        <v>63</v>
      </c>
      <c r="D167" s="4" t="s">
        <v>117</v>
      </c>
      <c r="E167" s="8">
        <v>40.0</v>
      </c>
      <c r="F167" s="4" t="str">
        <f t="shared" si="1"/>
        <v>500 &amp; Below</v>
      </c>
    </row>
    <row r="168" ht="15.75" customHeight="1">
      <c r="A168" s="4" t="s">
        <v>8</v>
      </c>
      <c r="B168" s="7">
        <v>45473.0</v>
      </c>
      <c r="C168" s="4" t="s">
        <v>63</v>
      </c>
      <c r="D168" s="4" t="s">
        <v>57</v>
      </c>
      <c r="E168" s="8">
        <v>20.0</v>
      </c>
      <c r="F168" s="4" t="str">
        <f t="shared" si="1"/>
        <v>500 &amp; Below</v>
      </c>
    </row>
    <row r="169" ht="15.75" customHeight="1">
      <c r="A169" s="4" t="s">
        <v>8</v>
      </c>
      <c r="B169" s="7">
        <v>45474.0</v>
      </c>
      <c r="C169" s="4" t="s">
        <v>71</v>
      </c>
      <c r="D169" s="4" t="s">
        <v>39</v>
      </c>
      <c r="E169" s="8">
        <v>10.0</v>
      </c>
      <c r="F169" s="4" t="str">
        <f t="shared" si="1"/>
        <v>500 &amp; Below</v>
      </c>
    </row>
    <row r="170" ht="15.75" customHeight="1">
      <c r="A170" s="4" t="s">
        <v>8</v>
      </c>
      <c r="B170" s="7">
        <v>45474.0</v>
      </c>
      <c r="C170" s="4" t="s">
        <v>71</v>
      </c>
      <c r="D170" s="4" t="s">
        <v>48</v>
      </c>
      <c r="E170" s="8">
        <v>394.0</v>
      </c>
      <c r="F170" s="4" t="str">
        <f t="shared" si="1"/>
        <v>500 &amp; Below</v>
      </c>
    </row>
    <row r="171" ht="15.75" customHeight="1">
      <c r="A171" s="4" t="s">
        <v>8</v>
      </c>
      <c r="B171" s="7">
        <v>45475.0</v>
      </c>
      <c r="C171" s="4" t="s">
        <v>71</v>
      </c>
      <c r="D171" s="4" t="s">
        <v>118</v>
      </c>
      <c r="E171" s="8">
        <v>220.0</v>
      </c>
      <c r="F171" s="4" t="str">
        <f t="shared" si="1"/>
        <v>500 &amp; Below</v>
      </c>
    </row>
    <row r="172" ht="15.75" customHeight="1">
      <c r="A172" s="4" t="s">
        <v>8</v>
      </c>
      <c r="B172" s="7">
        <v>45477.0</v>
      </c>
      <c r="C172" s="4" t="s">
        <v>71</v>
      </c>
      <c r="D172" s="4" t="s">
        <v>119</v>
      </c>
      <c r="E172" s="8">
        <v>80.0</v>
      </c>
      <c r="F172" s="4" t="str">
        <f t="shared" si="1"/>
        <v>500 &amp; Below</v>
      </c>
    </row>
    <row r="173" ht="15.75" customHeight="1">
      <c r="A173" s="4" t="s">
        <v>8</v>
      </c>
      <c r="B173" s="7">
        <v>45478.0</v>
      </c>
      <c r="C173" s="4" t="s">
        <v>71</v>
      </c>
      <c r="D173" s="4" t="s">
        <v>47</v>
      </c>
      <c r="E173" s="8">
        <v>40.0</v>
      </c>
      <c r="F173" s="4" t="str">
        <f t="shared" si="1"/>
        <v>500 &amp; Below</v>
      </c>
    </row>
    <row r="174" ht="15.75" customHeight="1">
      <c r="A174" s="4" t="s">
        <v>8</v>
      </c>
      <c r="B174" s="7">
        <v>45478.0</v>
      </c>
      <c r="C174" s="4" t="s">
        <v>71</v>
      </c>
      <c r="D174" s="4" t="s">
        <v>120</v>
      </c>
      <c r="E174" s="8">
        <v>10.0</v>
      </c>
      <c r="F174" s="4" t="str">
        <f t="shared" si="1"/>
        <v>500 &amp; Below</v>
      </c>
    </row>
    <row r="175" ht="15.75" customHeight="1">
      <c r="A175" s="4" t="s">
        <v>8</v>
      </c>
      <c r="B175" s="7">
        <v>45478.0</v>
      </c>
      <c r="C175" s="4" t="s">
        <v>71</v>
      </c>
      <c r="D175" s="4" t="s">
        <v>121</v>
      </c>
      <c r="E175" s="8">
        <v>504.25</v>
      </c>
      <c r="F175" s="4" t="str">
        <f t="shared" si="1"/>
        <v>Above 500</v>
      </c>
    </row>
    <row r="176" ht="15.75" customHeight="1">
      <c r="A176" s="4" t="s">
        <v>8</v>
      </c>
      <c r="B176" s="7">
        <v>45478.0</v>
      </c>
      <c r="C176" s="4" t="s">
        <v>71</v>
      </c>
      <c r="D176" s="4" t="s">
        <v>27</v>
      </c>
      <c r="E176" s="8">
        <v>50.0</v>
      </c>
      <c r="F176" s="4" t="str">
        <f t="shared" si="1"/>
        <v>500 &amp; Below</v>
      </c>
    </row>
    <row r="177" ht="15.75" customHeight="1">
      <c r="A177" s="4" t="s">
        <v>8</v>
      </c>
      <c r="B177" s="7">
        <v>45479.0</v>
      </c>
      <c r="C177" s="4" t="s">
        <v>71</v>
      </c>
      <c r="D177" s="4" t="s">
        <v>122</v>
      </c>
      <c r="E177" s="8">
        <v>1000.0</v>
      </c>
      <c r="F177" s="4" t="str">
        <f t="shared" si="1"/>
        <v>Above 500</v>
      </c>
    </row>
    <row r="178" ht="15.75" customHeight="1">
      <c r="A178" s="4" t="s">
        <v>8</v>
      </c>
      <c r="B178" s="7">
        <v>45479.0</v>
      </c>
      <c r="C178" s="4" t="s">
        <v>71</v>
      </c>
      <c r="D178" s="4" t="s">
        <v>123</v>
      </c>
      <c r="E178" s="8">
        <v>40.0</v>
      </c>
      <c r="F178" s="4" t="str">
        <f t="shared" si="1"/>
        <v>500 &amp; Below</v>
      </c>
    </row>
    <row r="179" ht="15.75" customHeight="1">
      <c r="A179" s="4" t="s">
        <v>8</v>
      </c>
      <c r="B179" s="7">
        <v>45479.0</v>
      </c>
      <c r="C179" s="4" t="s">
        <v>71</v>
      </c>
      <c r="D179" s="4" t="s">
        <v>121</v>
      </c>
      <c r="E179" s="8">
        <v>212.0</v>
      </c>
      <c r="F179" s="4" t="str">
        <f t="shared" si="1"/>
        <v>500 &amp; Below</v>
      </c>
    </row>
    <row r="180" ht="15.75" customHeight="1">
      <c r="A180" s="4" t="s">
        <v>8</v>
      </c>
      <c r="B180" s="7">
        <v>45480.0</v>
      </c>
      <c r="C180" s="4" t="s">
        <v>71</v>
      </c>
      <c r="D180" s="4" t="s">
        <v>18</v>
      </c>
      <c r="E180" s="8">
        <v>444.68</v>
      </c>
      <c r="F180" s="4" t="str">
        <f t="shared" si="1"/>
        <v>500 &amp; Below</v>
      </c>
    </row>
    <row r="181" ht="15.75" customHeight="1">
      <c r="A181" s="4" t="s">
        <v>8</v>
      </c>
      <c r="B181" s="7">
        <v>45480.0</v>
      </c>
      <c r="C181" s="4" t="s">
        <v>71</v>
      </c>
      <c r="D181" s="4" t="s">
        <v>124</v>
      </c>
      <c r="E181" s="8">
        <v>299.0</v>
      </c>
      <c r="F181" s="4" t="str">
        <f t="shared" si="1"/>
        <v>500 &amp; Below</v>
      </c>
    </row>
    <row r="182" ht="15.75" customHeight="1">
      <c r="A182" s="4" t="s">
        <v>8</v>
      </c>
      <c r="B182" s="7">
        <v>45480.0</v>
      </c>
      <c r="C182" s="4" t="s">
        <v>71</v>
      </c>
      <c r="D182" s="4" t="s">
        <v>18</v>
      </c>
      <c r="E182" s="8">
        <v>237.3</v>
      </c>
      <c r="F182" s="4" t="str">
        <f t="shared" si="1"/>
        <v>500 &amp; Below</v>
      </c>
    </row>
    <row r="183" ht="15.75" customHeight="1">
      <c r="A183" s="4" t="s">
        <v>8</v>
      </c>
      <c r="B183" s="7">
        <v>45482.0</v>
      </c>
      <c r="C183" s="4" t="s">
        <v>71</v>
      </c>
      <c r="D183" s="4" t="s">
        <v>79</v>
      </c>
      <c r="E183" s="8">
        <v>60.0</v>
      </c>
      <c r="F183" s="4" t="str">
        <f t="shared" si="1"/>
        <v>500 &amp; Below</v>
      </c>
    </row>
    <row r="184" ht="15.75" customHeight="1">
      <c r="A184" s="4" t="s">
        <v>8</v>
      </c>
      <c r="B184" s="7">
        <v>45482.0</v>
      </c>
      <c r="C184" s="4" t="s">
        <v>71</v>
      </c>
      <c r="D184" s="4" t="s">
        <v>47</v>
      </c>
      <c r="E184" s="8">
        <v>40.0</v>
      </c>
      <c r="F184" s="4" t="str">
        <f t="shared" si="1"/>
        <v>500 &amp; Below</v>
      </c>
    </row>
    <row r="185" ht="15.75" customHeight="1">
      <c r="A185" s="4" t="s">
        <v>8</v>
      </c>
      <c r="B185" s="7">
        <v>45482.0</v>
      </c>
      <c r="C185" s="4" t="s">
        <v>71</v>
      </c>
      <c r="D185" s="4" t="s">
        <v>102</v>
      </c>
      <c r="E185" s="8">
        <v>10.0</v>
      </c>
      <c r="F185" s="4" t="str">
        <f t="shared" si="1"/>
        <v>500 &amp; Below</v>
      </c>
    </row>
    <row r="186" ht="15.75" customHeight="1">
      <c r="A186" s="4" t="s">
        <v>8</v>
      </c>
      <c r="B186" s="7">
        <v>45483.0</v>
      </c>
      <c r="C186" s="4" t="s">
        <v>71</v>
      </c>
      <c r="D186" s="4" t="s">
        <v>107</v>
      </c>
      <c r="E186" s="8">
        <v>25.0</v>
      </c>
      <c r="F186" s="4" t="str">
        <f t="shared" si="1"/>
        <v>500 &amp; Below</v>
      </c>
    </row>
    <row r="187" ht="15.75" customHeight="1">
      <c r="A187" s="4" t="s">
        <v>8</v>
      </c>
      <c r="B187" s="7">
        <v>45483.0</v>
      </c>
      <c r="C187" s="4" t="s">
        <v>71</v>
      </c>
      <c r="D187" s="4" t="s">
        <v>42</v>
      </c>
      <c r="E187" s="8">
        <v>50.0</v>
      </c>
      <c r="F187" s="4" t="str">
        <f t="shared" si="1"/>
        <v>500 &amp; Below</v>
      </c>
    </row>
    <row r="188" ht="15.75" customHeight="1">
      <c r="A188" s="4" t="s">
        <v>8</v>
      </c>
      <c r="B188" s="7">
        <v>45484.0</v>
      </c>
      <c r="C188" s="4" t="s">
        <v>71</v>
      </c>
      <c r="D188" s="4" t="s">
        <v>41</v>
      </c>
      <c r="E188" s="8">
        <v>139.0</v>
      </c>
      <c r="F188" s="4" t="str">
        <f t="shared" si="1"/>
        <v>500 &amp; Below</v>
      </c>
    </row>
    <row r="189" ht="15.75" customHeight="1">
      <c r="A189" s="4" t="s">
        <v>8</v>
      </c>
      <c r="B189" s="7">
        <v>45485.0</v>
      </c>
      <c r="C189" s="4" t="s">
        <v>71</v>
      </c>
      <c r="D189" s="4" t="s">
        <v>24</v>
      </c>
      <c r="E189" s="8">
        <v>38.0</v>
      </c>
      <c r="F189" s="4" t="str">
        <f t="shared" si="1"/>
        <v>500 &amp; Below</v>
      </c>
    </row>
    <row r="190" ht="15.75" customHeight="1">
      <c r="A190" s="4" t="s">
        <v>8</v>
      </c>
      <c r="B190" s="7">
        <v>45485.0</v>
      </c>
      <c r="C190" s="4" t="s">
        <v>71</v>
      </c>
      <c r="D190" s="4" t="s">
        <v>119</v>
      </c>
      <c r="E190" s="8">
        <v>20.0</v>
      </c>
      <c r="F190" s="4" t="str">
        <f t="shared" si="1"/>
        <v>500 &amp; Below</v>
      </c>
    </row>
    <row r="191" ht="15.75" customHeight="1">
      <c r="A191" s="4" t="s">
        <v>8</v>
      </c>
      <c r="B191" s="7">
        <v>45485.0</v>
      </c>
      <c r="C191" s="4" t="s">
        <v>71</v>
      </c>
      <c r="D191" s="4" t="s">
        <v>115</v>
      </c>
      <c r="E191" s="8">
        <v>90.0</v>
      </c>
      <c r="F191" s="4" t="str">
        <f t="shared" si="1"/>
        <v>500 &amp; Below</v>
      </c>
    </row>
    <row r="192" ht="15.75" customHeight="1">
      <c r="A192" s="4" t="s">
        <v>8</v>
      </c>
      <c r="B192" s="7">
        <v>45486.0</v>
      </c>
      <c r="C192" s="4" t="s">
        <v>71</v>
      </c>
      <c r="D192" s="4" t="s">
        <v>130</v>
      </c>
      <c r="E192" s="8">
        <v>30.0</v>
      </c>
      <c r="F192" s="4" t="str">
        <f t="shared" si="1"/>
        <v>500 &amp; Below</v>
      </c>
    </row>
    <row r="193" ht="15.75" customHeight="1">
      <c r="A193" s="4" t="s">
        <v>8</v>
      </c>
      <c r="B193" s="7">
        <v>45487.0</v>
      </c>
      <c r="C193" s="4" t="s">
        <v>71</v>
      </c>
      <c r="D193" s="4" t="s">
        <v>36</v>
      </c>
      <c r="E193" s="8">
        <v>2995.0</v>
      </c>
      <c r="F193" s="4" t="str">
        <f t="shared" si="1"/>
        <v>Above 500</v>
      </c>
    </row>
    <row r="194" ht="15.75" customHeight="1">
      <c r="A194" s="4" t="s">
        <v>8</v>
      </c>
      <c r="B194" s="7">
        <v>45487.0</v>
      </c>
      <c r="C194" s="4" t="s">
        <v>71</v>
      </c>
      <c r="D194" s="4" t="s">
        <v>36</v>
      </c>
      <c r="E194" s="8">
        <v>2880.0</v>
      </c>
      <c r="F194" s="4" t="str">
        <f t="shared" si="1"/>
        <v>Above 500</v>
      </c>
    </row>
    <row r="195" ht="15.75" customHeight="1">
      <c r="A195" s="4" t="s">
        <v>8</v>
      </c>
      <c r="B195" s="7">
        <v>45488.0</v>
      </c>
      <c r="C195" s="4" t="s">
        <v>71</v>
      </c>
      <c r="D195" s="4" t="s">
        <v>136</v>
      </c>
      <c r="E195" s="8">
        <v>1050.0</v>
      </c>
      <c r="F195" s="4" t="str">
        <f t="shared" si="1"/>
        <v>Above 500</v>
      </c>
    </row>
    <row r="196" ht="15.75" customHeight="1">
      <c r="A196" s="4" t="s">
        <v>8</v>
      </c>
      <c r="B196" s="7">
        <v>45488.0</v>
      </c>
      <c r="C196" s="4" t="s">
        <v>71</v>
      </c>
      <c r="D196" s="4" t="s">
        <v>137</v>
      </c>
      <c r="E196" s="8">
        <v>330.0</v>
      </c>
      <c r="F196" s="4" t="str">
        <f t="shared" si="1"/>
        <v>500 &amp; Below</v>
      </c>
    </row>
    <row r="197" ht="15.75" customHeight="1">
      <c r="A197" s="4" t="s">
        <v>8</v>
      </c>
      <c r="B197" s="7">
        <v>45488.0</v>
      </c>
      <c r="C197" s="4" t="s">
        <v>71</v>
      </c>
      <c r="D197" s="4" t="s">
        <v>138</v>
      </c>
      <c r="E197" s="8">
        <v>172.0</v>
      </c>
      <c r="F197" s="4" t="str">
        <f t="shared" si="1"/>
        <v>500 &amp; Below</v>
      </c>
    </row>
    <row r="198" ht="15.75" customHeight="1">
      <c r="A198" s="4" t="s">
        <v>8</v>
      </c>
      <c r="B198" s="7">
        <v>45488.0</v>
      </c>
      <c r="C198" s="4" t="s">
        <v>71</v>
      </c>
      <c r="D198" s="4" t="s">
        <v>139</v>
      </c>
      <c r="E198" s="8">
        <v>530.0</v>
      </c>
      <c r="F198" s="4" t="str">
        <f t="shared" si="1"/>
        <v>Above 500</v>
      </c>
    </row>
    <row r="199" ht="15.75" customHeight="1">
      <c r="A199" s="4" t="s">
        <v>8</v>
      </c>
      <c r="B199" s="7">
        <v>45488.0</v>
      </c>
      <c r="C199" s="4" t="s">
        <v>71</v>
      </c>
      <c r="D199" s="4" t="s">
        <v>37</v>
      </c>
      <c r="E199" s="8">
        <v>239.0</v>
      </c>
      <c r="F199" s="4" t="str">
        <f t="shared" si="1"/>
        <v>500 &amp; Below</v>
      </c>
    </row>
    <row r="200" ht="15.75" customHeight="1">
      <c r="A200" s="4" t="s">
        <v>8</v>
      </c>
      <c r="B200" s="7">
        <v>45488.0</v>
      </c>
      <c r="C200" s="4" t="s">
        <v>71</v>
      </c>
      <c r="D200" s="4" t="s">
        <v>42</v>
      </c>
      <c r="E200" s="8">
        <v>135.0</v>
      </c>
      <c r="F200" s="4" t="str">
        <f t="shared" si="1"/>
        <v>500 &amp; Below</v>
      </c>
    </row>
    <row r="201" ht="15.75" customHeight="1">
      <c r="A201" s="4" t="s">
        <v>8</v>
      </c>
      <c r="B201" s="7">
        <v>45488.0</v>
      </c>
      <c r="C201" s="4" t="s">
        <v>71</v>
      </c>
      <c r="D201" s="4" t="s">
        <v>57</v>
      </c>
      <c r="E201" s="8">
        <v>10.0</v>
      </c>
      <c r="F201" s="4" t="str">
        <f t="shared" si="1"/>
        <v>500 &amp; Below</v>
      </c>
    </row>
    <row r="202" ht="15.75" customHeight="1">
      <c r="A202" s="4" t="s">
        <v>8</v>
      </c>
      <c r="B202" s="7">
        <v>45488.0</v>
      </c>
      <c r="C202" s="4" t="s">
        <v>71</v>
      </c>
      <c r="D202" s="4" t="s">
        <v>103</v>
      </c>
      <c r="E202" s="8">
        <v>190.0</v>
      </c>
      <c r="F202" s="4" t="str">
        <f t="shared" si="1"/>
        <v>500 &amp; Below</v>
      </c>
    </row>
    <row r="203" ht="15.75" customHeight="1">
      <c r="A203" s="4" t="s">
        <v>8</v>
      </c>
      <c r="B203" s="7">
        <v>45489.0</v>
      </c>
      <c r="C203" s="4" t="s">
        <v>71</v>
      </c>
      <c r="D203" s="4" t="s">
        <v>36</v>
      </c>
      <c r="E203" s="8">
        <v>3683.0</v>
      </c>
      <c r="F203" s="4" t="str">
        <f t="shared" si="1"/>
        <v>Above 500</v>
      </c>
    </row>
    <row r="204" ht="15.75" customHeight="1">
      <c r="A204" s="4" t="s">
        <v>8</v>
      </c>
      <c r="B204" s="7">
        <v>45489.0</v>
      </c>
      <c r="C204" s="4" t="s">
        <v>71</v>
      </c>
      <c r="D204" s="4" t="s">
        <v>18</v>
      </c>
      <c r="E204" s="8">
        <v>141.0</v>
      </c>
      <c r="F204" s="4" t="str">
        <f t="shared" si="1"/>
        <v>500 &amp; Below</v>
      </c>
    </row>
    <row r="205" ht="15.75" customHeight="1">
      <c r="A205" s="4" t="s">
        <v>8</v>
      </c>
      <c r="B205" s="7">
        <v>45489.0</v>
      </c>
      <c r="C205" s="4" t="s">
        <v>71</v>
      </c>
      <c r="D205" s="4" t="s">
        <v>146</v>
      </c>
      <c r="E205" s="8">
        <v>100.0</v>
      </c>
      <c r="F205" s="4" t="str">
        <f t="shared" si="1"/>
        <v>500 &amp; Below</v>
      </c>
    </row>
    <row r="206" ht="15.75" customHeight="1">
      <c r="A206" s="4" t="s">
        <v>8</v>
      </c>
      <c r="B206" s="7">
        <v>45489.0</v>
      </c>
      <c r="C206" s="4" t="s">
        <v>71</v>
      </c>
      <c r="D206" s="4" t="s">
        <v>75</v>
      </c>
      <c r="E206" s="8">
        <v>20.0</v>
      </c>
      <c r="F206" s="4" t="str">
        <f t="shared" si="1"/>
        <v>500 &amp; Below</v>
      </c>
    </row>
    <row r="207" ht="15.75" customHeight="1">
      <c r="A207" s="4" t="s">
        <v>8</v>
      </c>
      <c r="B207" s="7">
        <v>45490.0</v>
      </c>
      <c r="C207" s="4" t="s">
        <v>71</v>
      </c>
      <c r="D207" s="4" t="s">
        <v>39</v>
      </c>
      <c r="E207" s="8">
        <v>5.0</v>
      </c>
      <c r="F207" s="4" t="str">
        <f t="shared" si="1"/>
        <v>500 &amp; Below</v>
      </c>
    </row>
    <row r="208" ht="15.75" customHeight="1">
      <c r="A208" s="4" t="s">
        <v>8</v>
      </c>
      <c r="B208" s="7">
        <v>45490.0</v>
      </c>
      <c r="C208" s="4" t="s">
        <v>71</v>
      </c>
      <c r="D208" s="4" t="s">
        <v>42</v>
      </c>
      <c r="E208" s="8">
        <v>40.0</v>
      </c>
      <c r="F208" s="4" t="str">
        <f t="shared" si="1"/>
        <v>500 &amp; Below</v>
      </c>
    </row>
    <row r="209" ht="15.75" customHeight="1">
      <c r="A209" s="4" t="s">
        <v>8</v>
      </c>
      <c r="B209" s="7">
        <v>45490.0</v>
      </c>
      <c r="C209" s="4" t="s">
        <v>71</v>
      </c>
      <c r="D209" s="4" t="s">
        <v>159</v>
      </c>
      <c r="E209" s="8">
        <v>20.0</v>
      </c>
      <c r="F209" s="4" t="str">
        <f t="shared" si="1"/>
        <v>500 &amp; Below</v>
      </c>
    </row>
    <row r="210" ht="15.75" customHeight="1">
      <c r="A210" s="4" t="s">
        <v>8</v>
      </c>
      <c r="B210" s="7">
        <v>45490.0</v>
      </c>
      <c r="C210" s="4" t="s">
        <v>71</v>
      </c>
      <c r="D210" s="4" t="s">
        <v>27</v>
      </c>
      <c r="E210" s="8">
        <v>7000.0</v>
      </c>
      <c r="F210" s="4" t="str">
        <f t="shared" si="1"/>
        <v>Above 500</v>
      </c>
    </row>
    <row r="211" ht="15.75" customHeight="1">
      <c r="A211" s="4" t="s">
        <v>8</v>
      </c>
      <c r="B211" s="7">
        <v>45491.0</v>
      </c>
      <c r="C211" s="4" t="s">
        <v>71</v>
      </c>
      <c r="D211" s="4" t="s">
        <v>168</v>
      </c>
      <c r="E211" s="8">
        <v>20.0</v>
      </c>
      <c r="F211" s="4" t="str">
        <f t="shared" si="1"/>
        <v>500 &amp; Below</v>
      </c>
    </row>
    <row r="212" ht="15.75" customHeight="1">
      <c r="A212" s="4" t="s">
        <v>8</v>
      </c>
      <c r="B212" s="7">
        <v>45492.0</v>
      </c>
      <c r="C212" s="4" t="s">
        <v>71</v>
      </c>
      <c r="D212" s="4" t="s">
        <v>174</v>
      </c>
      <c r="E212" s="8">
        <v>10.0</v>
      </c>
      <c r="F212" s="4" t="str">
        <f t="shared" si="1"/>
        <v>500 &amp; Below</v>
      </c>
    </row>
    <row r="213" ht="15.75" customHeight="1">
      <c r="A213" s="4" t="s">
        <v>8</v>
      </c>
      <c r="B213" s="7">
        <v>45492.0</v>
      </c>
      <c r="C213" s="4" t="s">
        <v>71</v>
      </c>
      <c r="D213" s="4" t="s">
        <v>174</v>
      </c>
      <c r="E213" s="8">
        <v>20.0</v>
      </c>
      <c r="F213" s="4" t="str">
        <f t="shared" si="1"/>
        <v>500 &amp; Below</v>
      </c>
    </row>
    <row r="214" ht="15.75" customHeight="1">
      <c r="A214" s="4" t="s">
        <v>8</v>
      </c>
      <c r="B214" s="7">
        <v>45492.0</v>
      </c>
      <c r="C214" s="4" t="s">
        <v>71</v>
      </c>
      <c r="D214" s="4" t="s">
        <v>18</v>
      </c>
      <c r="E214" s="8">
        <v>531.34</v>
      </c>
      <c r="F214" s="4" t="str">
        <f t="shared" si="1"/>
        <v>Above 500</v>
      </c>
    </row>
    <row r="215" ht="15.75" customHeight="1">
      <c r="A215" s="4" t="s">
        <v>8</v>
      </c>
      <c r="B215" s="7">
        <v>45492.0</v>
      </c>
      <c r="C215" s="4" t="s">
        <v>71</v>
      </c>
      <c r="D215" s="4" t="s">
        <v>60</v>
      </c>
      <c r="E215" s="8">
        <v>362.7</v>
      </c>
      <c r="F215" s="4" t="str">
        <f t="shared" si="1"/>
        <v>500 &amp; Below</v>
      </c>
    </row>
    <row r="216" ht="15.75" customHeight="1">
      <c r="A216" s="4" t="s">
        <v>8</v>
      </c>
      <c r="B216" s="7">
        <v>45493.0</v>
      </c>
      <c r="C216" s="4" t="s">
        <v>71</v>
      </c>
      <c r="D216" s="4" t="s">
        <v>191</v>
      </c>
      <c r="E216" s="8">
        <v>35.0</v>
      </c>
      <c r="F216" s="4" t="str">
        <f t="shared" si="1"/>
        <v>500 &amp; Below</v>
      </c>
    </row>
    <row r="217" ht="15.75" customHeight="1">
      <c r="A217" s="4" t="s">
        <v>8</v>
      </c>
      <c r="B217" s="7">
        <v>45493.0</v>
      </c>
      <c r="C217" s="4" t="s">
        <v>71</v>
      </c>
      <c r="D217" s="4" t="s">
        <v>194</v>
      </c>
      <c r="E217" s="8">
        <v>20.0</v>
      </c>
      <c r="F217" s="4" t="str">
        <f t="shared" si="1"/>
        <v>500 &amp; Below</v>
      </c>
    </row>
    <row r="218" ht="15.75" customHeight="1">
      <c r="A218" s="4" t="s">
        <v>8</v>
      </c>
      <c r="B218" s="7">
        <v>45494.0</v>
      </c>
      <c r="C218" s="4" t="s">
        <v>71</v>
      </c>
      <c r="D218" s="4" t="s">
        <v>18</v>
      </c>
      <c r="E218" s="8">
        <v>426.52</v>
      </c>
      <c r="F218" s="4" t="str">
        <f t="shared" si="1"/>
        <v>500 &amp; Below</v>
      </c>
    </row>
    <row r="219" ht="15.75" customHeight="1">
      <c r="A219" s="4" t="s">
        <v>8</v>
      </c>
      <c r="B219" s="7">
        <v>45494.0</v>
      </c>
      <c r="C219" s="4" t="s">
        <v>71</v>
      </c>
      <c r="D219" s="4" t="s">
        <v>198</v>
      </c>
      <c r="E219" s="8">
        <v>157.0</v>
      </c>
      <c r="F219" s="4" t="str">
        <f t="shared" si="1"/>
        <v>500 &amp; Below</v>
      </c>
    </row>
    <row r="220" ht="15.75" customHeight="1">
      <c r="A220" s="4" t="s">
        <v>8</v>
      </c>
      <c r="B220" s="7">
        <v>45494.0</v>
      </c>
      <c r="C220" s="4" t="s">
        <v>71</v>
      </c>
      <c r="D220" s="4" t="s">
        <v>203</v>
      </c>
      <c r="E220" s="8">
        <v>240.0</v>
      </c>
      <c r="F220" s="4" t="str">
        <f t="shared" si="1"/>
        <v>500 &amp; Below</v>
      </c>
    </row>
    <row r="221" ht="15.75" customHeight="1">
      <c r="A221" s="4" t="s">
        <v>8</v>
      </c>
      <c r="B221" s="7">
        <v>45494.0</v>
      </c>
      <c r="C221" s="4" t="s">
        <v>71</v>
      </c>
      <c r="D221" s="4" t="s">
        <v>209</v>
      </c>
      <c r="E221" s="8">
        <v>1000.0</v>
      </c>
      <c r="F221" s="4" t="str">
        <f t="shared" si="1"/>
        <v>Above 500</v>
      </c>
    </row>
    <row r="222" ht="15.75" customHeight="1">
      <c r="A222" s="4" t="s">
        <v>8</v>
      </c>
      <c r="B222" s="7">
        <v>45494.0</v>
      </c>
      <c r="C222" s="4" t="s">
        <v>71</v>
      </c>
      <c r="D222" s="4" t="s">
        <v>214</v>
      </c>
      <c r="E222" s="8">
        <v>100.0</v>
      </c>
      <c r="F222" s="4" t="str">
        <f t="shared" si="1"/>
        <v>500 &amp; Below</v>
      </c>
    </row>
    <row r="223" ht="15.75" customHeight="1">
      <c r="A223" s="4" t="s">
        <v>8</v>
      </c>
      <c r="B223" s="7">
        <v>45494.0</v>
      </c>
      <c r="C223" s="4" t="s">
        <v>71</v>
      </c>
      <c r="D223" s="4" t="s">
        <v>218</v>
      </c>
      <c r="E223" s="8">
        <v>250.0</v>
      </c>
      <c r="F223" s="4" t="str">
        <f t="shared" si="1"/>
        <v>500 &amp; Below</v>
      </c>
    </row>
    <row r="224" ht="15.75" customHeight="1">
      <c r="A224" s="4" t="s">
        <v>8</v>
      </c>
      <c r="B224" s="7">
        <v>45494.0</v>
      </c>
      <c r="C224" s="4" t="s">
        <v>71</v>
      </c>
      <c r="D224" s="4" t="s">
        <v>45</v>
      </c>
      <c r="E224" s="8">
        <v>1427.0</v>
      </c>
      <c r="F224" s="4" t="str">
        <f t="shared" si="1"/>
        <v>Above 500</v>
      </c>
    </row>
    <row r="225" ht="15.75" customHeight="1">
      <c r="A225" s="4" t="s">
        <v>8</v>
      </c>
      <c r="B225" s="7">
        <v>45494.0</v>
      </c>
      <c r="C225" s="4" t="s">
        <v>71</v>
      </c>
      <c r="D225" s="4" t="s">
        <v>25</v>
      </c>
      <c r="E225" s="8">
        <v>30.0</v>
      </c>
      <c r="F225" s="4" t="str">
        <f t="shared" si="1"/>
        <v>500 &amp; Below</v>
      </c>
    </row>
    <row r="226" ht="15.75" customHeight="1">
      <c r="A226" s="4" t="s">
        <v>8</v>
      </c>
      <c r="B226" s="7">
        <v>45494.0</v>
      </c>
      <c r="C226" s="4" t="s">
        <v>71</v>
      </c>
      <c r="D226" s="4" t="s">
        <v>231</v>
      </c>
      <c r="E226" s="8">
        <v>10.0</v>
      </c>
      <c r="F226" s="4" t="str">
        <f t="shared" si="1"/>
        <v>500 &amp; Below</v>
      </c>
    </row>
    <row r="227" ht="15.75" customHeight="1">
      <c r="A227" s="4" t="s">
        <v>8</v>
      </c>
      <c r="B227" s="7">
        <v>45495.0</v>
      </c>
      <c r="C227" s="4" t="s">
        <v>71</v>
      </c>
      <c r="D227" s="4" t="s">
        <v>238</v>
      </c>
      <c r="E227" s="8">
        <v>100.0</v>
      </c>
      <c r="F227" s="4" t="str">
        <f t="shared" si="1"/>
        <v>500 &amp; Below</v>
      </c>
    </row>
    <row r="228" ht="15.75" customHeight="1">
      <c r="A228" s="4" t="s">
        <v>8</v>
      </c>
      <c r="B228" s="7">
        <v>45495.0</v>
      </c>
      <c r="C228" s="4" t="s">
        <v>71</v>
      </c>
      <c r="D228" s="4" t="s">
        <v>28</v>
      </c>
      <c r="E228" s="8">
        <v>70.0</v>
      </c>
      <c r="F228" s="4" t="str">
        <f t="shared" si="1"/>
        <v>500 &amp; Below</v>
      </c>
    </row>
    <row r="229" ht="15.75" customHeight="1">
      <c r="A229" s="4" t="s">
        <v>8</v>
      </c>
      <c r="B229" s="7">
        <v>45495.0</v>
      </c>
      <c r="C229" s="4" t="s">
        <v>71</v>
      </c>
      <c r="D229" s="4" t="s">
        <v>246</v>
      </c>
      <c r="E229" s="8">
        <v>650.0</v>
      </c>
      <c r="F229" s="4" t="str">
        <f t="shared" si="1"/>
        <v>Above 500</v>
      </c>
    </row>
    <row r="230" ht="15.75" customHeight="1">
      <c r="A230" s="4" t="s">
        <v>8</v>
      </c>
      <c r="B230" s="7">
        <v>45495.0</v>
      </c>
      <c r="C230" s="4" t="s">
        <v>71</v>
      </c>
      <c r="D230" s="4" t="s">
        <v>79</v>
      </c>
      <c r="E230" s="8">
        <v>10.0</v>
      </c>
      <c r="F230" s="4" t="str">
        <f t="shared" si="1"/>
        <v>500 &amp; Below</v>
      </c>
    </row>
    <row r="231" ht="15.75" customHeight="1">
      <c r="A231" s="4" t="s">
        <v>8</v>
      </c>
      <c r="B231" s="7">
        <v>45495.0</v>
      </c>
      <c r="C231" s="4" t="s">
        <v>71</v>
      </c>
      <c r="D231" s="4" t="s">
        <v>112</v>
      </c>
      <c r="E231" s="8">
        <v>20.0</v>
      </c>
      <c r="F231" s="4" t="str">
        <f t="shared" si="1"/>
        <v>500 &amp; Below</v>
      </c>
    </row>
    <row r="232" ht="15.75" customHeight="1">
      <c r="A232" s="4" t="s">
        <v>8</v>
      </c>
      <c r="B232" s="7">
        <v>45496.0</v>
      </c>
      <c r="C232" s="4" t="s">
        <v>71</v>
      </c>
      <c r="D232" s="4" t="s">
        <v>73</v>
      </c>
      <c r="E232" s="8">
        <v>1000.0</v>
      </c>
      <c r="F232" s="4" t="str">
        <f t="shared" si="1"/>
        <v>Above 500</v>
      </c>
    </row>
    <row r="233" ht="15.75" customHeight="1">
      <c r="A233" s="4" t="s">
        <v>8</v>
      </c>
      <c r="B233" s="7">
        <v>45497.0</v>
      </c>
      <c r="C233" s="4" t="s">
        <v>71</v>
      </c>
      <c r="D233" s="4" t="s">
        <v>266</v>
      </c>
      <c r="E233" s="8">
        <v>45.0</v>
      </c>
      <c r="F233" s="4" t="str">
        <f t="shared" si="1"/>
        <v>500 &amp; Below</v>
      </c>
    </row>
    <row r="234" ht="15.75" customHeight="1">
      <c r="A234" s="4" t="s">
        <v>8</v>
      </c>
      <c r="B234" s="7">
        <v>45497.0</v>
      </c>
      <c r="C234" s="4" t="s">
        <v>71</v>
      </c>
      <c r="D234" s="4" t="s">
        <v>117</v>
      </c>
      <c r="E234" s="8">
        <v>85.0</v>
      </c>
      <c r="F234" s="4" t="str">
        <f t="shared" si="1"/>
        <v>500 &amp; Below</v>
      </c>
    </row>
    <row r="235" ht="15.75" customHeight="1">
      <c r="A235" s="4" t="s">
        <v>8</v>
      </c>
      <c r="B235" s="7">
        <v>45497.0</v>
      </c>
      <c r="C235" s="4" t="s">
        <v>71</v>
      </c>
      <c r="D235" s="4" t="s">
        <v>79</v>
      </c>
      <c r="E235" s="8">
        <v>20.0</v>
      </c>
      <c r="F235" s="4" t="str">
        <f t="shared" si="1"/>
        <v>500 &amp; Below</v>
      </c>
    </row>
    <row r="236" ht="15.75" customHeight="1">
      <c r="A236" s="4" t="s">
        <v>8</v>
      </c>
      <c r="B236" s="7">
        <v>45498.0</v>
      </c>
      <c r="C236" s="4" t="s">
        <v>71</v>
      </c>
      <c r="D236" s="4" t="s">
        <v>277</v>
      </c>
      <c r="E236" s="8">
        <v>700.0</v>
      </c>
      <c r="F236" s="4" t="str">
        <f t="shared" si="1"/>
        <v>Above 500</v>
      </c>
    </row>
    <row r="237" ht="15.75" customHeight="1">
      <c r="A237" s="4" t="s">
        <v>8</v>
      </c>
      <c r="B237" s="7">
        <v>45498.0</v>
      </c>
      <c r="C237" s="4" t="s">
        <v>71</v>
      </c>
      <c r="D237" s="4" t="s">
        <v>112</v>
      </c>
      <c r="E237" s="8">
        <v>20.0</v>
      </c>
      <c r="F237" s="4" t="str">
        <f t="shared" si="1"/>
        <v>500 &amp; Below</v>
      </c>
    </row>
    <row r="238" ht="15.75" customHeight="1">
      <c r="A238" s="4" t="s">
        <v>8</v>
      </c>
      <c r="B238" s="7">
        <v>45499.0</v>
      </c>
      <c r="C238" s="4" t="s">
        <v>71</v>
      </c>
      <c r="D238" s="4" t="s">
        <v>282</v>
      </c>
      <c r="E238" s="8">
        <v>16.0</v>
      </c>
      <c r="F238" s="4" t="str">
        <f t="shared" si="1"/>
        <v>500 &amp; Below</v>
      </c>
    </row>
    <row r="239" ht="15.75" customHeight="1">
      <c r="A239" s="4" t="s">
        <v>8</v>
      </c>
      <c r="B239" s="7">
        <v>45499.0</v>
      </c>
      <c r="C239" s="4" t="s">
        <v>71</v>
      </c>
      <c r="D239" s="4" t="s">
        <v>286</v>
      </c>
      <c r="E239" s="8">
        <v>100.0</v>
      </c>
      <c r="F239" s="4" t="str">
        <f t="shared" si="1"/>
        <v>500 &amp; Below</v>
      </c>
    </row>
    <row r="240" ht="15.75" customHeight="1">
      <c r="A240" s="4" t="s">
        <v>8</v>
      </c>
      <c r="B240" s="7">
        <v>45499.0</v>
      </c>
      <c r="C240" s="4" t="s">
        <v>71</v>
      </c>
      <c r="D240" s="4" t="s">
        <v>60</v>
      </c>
      <c r="E240" s="8">
        <v>2259.95</v>
      </c>
      <c r="F240" s="4" t="str">
        <f t="shared" si="1"/>
        <v>Above 500</v>
      </c>
    </row>
    <row r="241" ht="15.75" customHeight="1">
      <c r="A241" s="4" t="s">
        <v>8</v>
      </c>
      <c r="B241" s="7">
        <v>45499.0</v>
      </c>
      <c r="C241" s="4" t="s">
        <v>71</v>
      </c>
      <c r="D241" s="4" t="s">
        <v>60</v>
      </c>
      <c r="E241" s="8">
        <v>2259.95</v>
      </c>
      <c r="F241" s="4" t="str">
        <f t="shared" si="1"/>
        <v>Above 500</v>
      </c>
    </row>
    <row r="242" ht="15.75" customHeight="1">
      <c r="A242" s="4" t="s">
        <v>8</v>
      </c>
      <c r="B242" s="7">
        <v>45500.0</v>
      </c>
      <c r="C242" s="4" t="s">
        <v>71</v>
      </c>
      <c r="D242" s="4" t="s">
        <v>119</v>
      </c>
      <c r="E242" s="8">
        <v>14.0</v>
      </c>
      <c r="F242" s="4" t="str">
        <f t="shared" si="1"/>
        <v>500 &amp; Below</v>
      </c>
    </row>
    <row r="243" ht="15.75" customHeight="1">
      <c r="A243" s="4" t="s">
        <v>8</v>
      </c>
      <c r="B243" s="7">
        <v>45500.0</v>
      </c>
      <c r="C243" s="4" t="s">
        <v>71</v>
      </c>
      <c r="D243" s="4" t="s">
        <v>293</v>
      </c>
      <c r="E243" s="8">
        <v>500.0</v>
      </c>
      <c r="F243" s="4" t="str">
        <f t="shared" si="1"/>
        <v>500 &amp; Below</v>
      </c>
    </row>
    <row r="244" ht="15.75" customHeight="1">
      <c r="A244" s="4" t="s">
        <v>8</v>
      </c>
      <c r="B244" s="7">
        <v>45500.0</v>
      </c>
      <c r="C244" s="4" t="s">
        <v>71</v>
      </c>
      <c r="D244" s="4" t="s">
        <v>103</v>
      </c>
      <c r="E244" s="8">
        <v>280.0</v>
      </c>
      <c r="F244" s="4" t="str">
        <f t="shared" si="1"/>
        <v>500 &amp; Below</v>
      </c>
    </row>
    <row r="245" ht="15.75" customHeight="1">
      <c r="A245" s="4" t="s">
        <v>8</v>
      </c>
      <c r="B245" s="7">
        <v>45500.0</v>
      </c>
      <c r="C245" s="4" t="s">
        <v>71</v>
      </c>
      <c r="D245" s="4" t="s">
        <v>300</v>
      </c>
      <c r="E245" s="8">
        <v>20.0</v>
      </c>
      <c r="F245" s="4" t="str">
        <f t="shared" si="1"/>
        <v>500 &amp; Below</v>
      </c>
    </row>
    <row r="246" ht="15.75" customHeight="1">
      <c r="A246" s="4" t="s">
        <v>8</v>
      </c>
      <c r="B246" s="7">
        <v>45500.0</v>
      </c>
      <c r="C246" s="4" t="s">
        <v>71</v>
      </c>
      <c r="D246" s="4" t="s">
        <v>112</v>
      </c>
      <c r="E246" s="8">
        <v>20.0</v>
      </c>
      <c r="F246" s="4" t="str">
        <f t="shared" si="1"/>
        <v>500 &amp; Below</v>
      </c>
    </row>
    <row r="247" ht="15.75" customHeight="1">
      <c r="A247" s="4" t="s">
        <v>8</v>
      </c>
      <c r="B247" s="7">
        <v>45501.0</v>
      </c>
      <c r="C247" s="4" t="s">
        <v>71</v>
      </c>
      <c r="D247" s="4" t="s">
        <v>308</v>
      </c>
      <c r="E247" s="8">
        <v>50.0</v>
      </c>
      <c r="F247" s="4" t="str">
        <f t="shared" si="1"/>
        <v>500 &amp; Below</v>
      </c>
    </row>
    <row r="248" ht="15.75" customHeight="1">
      <c r="A248" s="4" t="s">
        <v>8</v>
      </c>
      <c r="B248" s="7">
        <v>45501.0</v>
      </c>
      <c r="C248" s="4" t="s">
        <v>71</v>
      </c>
      <c r="D248" s="4" t="s">
        <v>312</v>
      </c>
      <c r="E248" s="8">
        <v>170.0</v>
      </c>
      <c r="F248" s="4" t="str">
        <f t="shared" si="1"/>
        <v>500 &amp; Below</v>
      </c>
    </row>
    <row r="249" ht="15.75" customHeight="1">
      <c r="A249" s="4" t="s">
        <v>8</v>
      </c>
      <c r="B249" s="7">
        <v>45501.0</v>
      </c>
      <c r="C249" s="4" t="s">
        <v>71</v>
      </c>
      <c r="D249" s="4" t="s">
        <v>312</v>
      </c>
      <c r="E249" s="8">
        <v>100.0</v>
      </c>
      <c r="F249" s="4" t="str">
        <f t="shared" si="1"/>
        <v>500 &amp; Below</v>
      </c>
    </row>
    <row r="250" ht="15.75" customHeight="1">
      <c r="A250" s="4" t="s">
        <v>8</v>
      </c>
      <c r="B250" s="7">
        <v>45501.0</v>
      </c>
      <c r="C250" s="4" t="s">
        <v>71</v>
      </c>
      <c r="D250" s="4" t="s">
        <v>317</v>
      </c>
      <c r="E250" s="8">
        <v>146.0</v>
      </c>
      <c r="F250" s="4" t="str">
        <f t="shared" si="1"/>
        <v>500 &amp; Below</v>
      </c>
    </row>
    <row r="251" ht="15.75" customHeight="1">
      <c r="A251" s="4" t="s">
        <v>8</v>
      </c>
      <c r="B251" s="7">
        <v>45501.0</v>
      </c>
      <c r="C251" s="4" t="s">
        <v>71</v>
      </c>
      <c r="D251" s="4" t="s">
        <v>25</v>
      </c>
      <c r="E251" s="8">
        <v>30.0</v>
      </c>
      <c r="F251" s="4" t="str">
        <f t="shared" si="1"/>
        <v>500 &amp; Below</v>
      </c>
    </row>
    <row r="252" ht="15.75" customHeight="1">
      <c r="A252" s="4" t="s">
        <v>8</v>
      </c>
      <c r="B252" s="7">
        <v>45501.0</v>
      </c>
      <c r="C252" s="4" t="s">
        <v>71</v>
      </c>
      <c r="D252" s="4" t="s">
        <v>121</v>
      </c>
      <c r="E252" s="8">
        <v>267.05</v>
      </c>
      <c r="F252" s="4" t="str">
        <f t="shared" si="1"/>
        <v>500 &amp; Below</v>
      </c>
    </row>
    <row r="253" ht="15.75" customHeight="1">
      <c r="A253" s="4" t="s">
        <v>8</v>
      </c>
      <c r="B253" s="7">
        <v>45501.0</v>
      </c>
      <c r="C253" s="4" t="s">
        <v>71</v>
      </c>
      <c r="D253" s="4" t="s">
        <v>117</v>
      </c>
      <c r="E253" s="8">
        <v>50.0</v>
      </c>
      <c r="F253" s="4" t="str">
        <f t="shared" si="1"/>
        <v>500 &amp; Below</v>
      </c>
    </row>
    <row r="254" ht="15.75" customHeight="1">
      <c r="A254" s="4" t="s">
        <v>8</v>
      </c>
      <c r="B254" s="7">
        <v>45501.0</v>
      </c>
      <c r="C254" s="4" t="s">
        <v>71</v>
      </c>
      <c r="D254" s="4" t="s">
        <v>112</v>
      </c>
      <c r="E254" s="8">
        <v>20.0</v>
      </c>
      <c r="F254" s="4" t="str">
        <f t="shared" si="1"/>
        <v>500 &amp; Below</v>
      </c>
    </row>
    <row r="255" ht="15.75" customHeight="1">
      <c r="A255" s="4" t="s">
        <v>8</v>
      </c>
      <c r="B255" s="7">
        <v>45501.0</v>
      </c>
      <c r="C255" s="4" t="s">
        <v>71</v>
      </c>
      <c r="D255" s="4" t="s">
        <v>112</v>
      </c>
      <c r="E255" s="8">
        <v>400.0</v>
      </c>
      <c r="F255" s="4" t="str">
        <f t="shared" si="1"/>
        <v>500 &amp; Below</v>
      </c>
    </row>
    <row r="256" ht="15.75" customHeight="1">
      <c r="A256" s="4" t="s">
        <v>8</v>
      </c>
      <c r="B256" s="7">
        <v>45502.0</v>
      </c>
      <c r="C256" s="4" t="s">
        <v>71</v>
      </c>
      <c r="D256" s="4" t="s">
        <v>231</v>
      </c>
      <c r="E256" s="8">
        <v>60.0</v>
      </c>
      <c r="F256" s="4" t="str">
        <f t="shared" si="1"/>
        <v>500 &amp; Below</v>
      </c>
    </row>
    <row r="257" ht="15.75" customHeight="1">
      <c r="A257" s="4" t="s">
        <v>8</v>
      </c>
      <c r="B257" s="7">
        <v>45503.0</v>
      </c>
      <c r="C257" s="4" t="s">
        <v>71</v>
      </c>
      <c r="D257" s="4" t="s">
        <v>75</v>
      </c>
      <c r="E257" s="8">
        <v>20.0</v>
      </c>
      <c r="F257" s="4" t="str">
        <f t="shared" si="1"/>
        <v>500 &amp; Below</v>
      </c>
    </row>
    <row r="258" ht="15.75" customHeight="1">
      <c r="A258" s="4" t="s">
        <v>8</v>
      </c>
      <c r="B258" s="7">
        <v>45503.0</v>
      </c>
      <c r="C258" s="4" t="s">
        <v>71</v>
      </c>
      <c r="D258" s="4" t="s">
        <v>102</v>
      </c>
      <c r="E258" s="8">
        <v>15.0</v>
      </c>
      <c r="F258" s="4" t="str">
        <f t="shared" si="1"/>
        <v>500 &amp; Below</v>
      </c>
    </row>
    <row r="259" ht="15.75" customHeight="1">
      <c r="A259" s="4" t="s">
        <v>8</v>
      </c>
      <c r="B259" s="7">
        <v>45503.0</v>
      </c>
      <c r="C259" s="4" t="s">
        <v>71</v>
      </c>
      <c r="D259" s="4" t="s">
        <v>18</v>
      </c>
      <c r="E259" s="8">
        <v>72.52</v>
      </c>
      <c r="F259" s="4" t="str">
        <f t="shared" si="1"/>
        <v>500 &amp; Below</v>
      </c>
    </row>
    <row r="260" ht="15.75" customHeight="1">
      <c r="A260" s="4" t="s">
        <v>8</v>
      </c>
      <c r="B260" s="7">
        <v>45503.0</v>
      </c>
      <c r="C260" s="4" t="s">
        <v>71</v>
      </c>
      <c r="D260" s="4" t="s">
        <v>351</v>
      </c>
      <c r="E260" s="8">
        <v>7000.0</v>
      </c>
      <c r="F260" s="4" t="str">
        <f t="shared" si="1"/>
        <v>Above 500</v>
      </c>
    </row>
    <row r="261" ht="15.75" customHeight="1">
      <c r="A261" s="4" t="s">
        <v>8</v>
      </c>
      <c r="B261" s="7">
        <v>45503.0</v>
      </c>
      <c r="C261" s="4" t="s">
        <v>71</v>
      </c>
      <c r="D261" s="4" t="s">
        <v>355</v>
      </c>
      <c r="E261" s="8">
        <v>50.0</v>
      </c>
      <c r="F261" s="4" t="str">
        <f t="shared" si="1"/>
        <v>500 &amp; Below</v>
      </c>
    </row>
    <row r="262" ht="15.75" customHeight="1">
      <c r="A262" s="4" t="s">
        <v>8</v>
      </c>
      <c r="B262" s="7">
        <v>45503.0</v>
      </c>
      <c r="C262" s="4" t="s">
        <v>71</v>
      </c>
      <c r="D262" s="4" t="s">
        <v>357</v>
      </c>
      <c r="E262" s="8">
        <v>10.0</v>
      </c>
      <c r="F262" s="4" t="str">
        <f t="shared" si="1"/>
        <v>500 &amp; Below</v>
      </c>
    </row>
    <row r="263" ht="15.75" customHeight="1">
      <c r="A263" s="4" t="s">
        <v>8</v>
      </c>
      <c r="B263" s="7">
        <v>45504.0</v>
      </c>
      <c r="C263" s="4" t="s">
        <v>71</v>
      </c>
      <c r="D263" s="4" t="s">
        <v>48</v>
      </c>
      <c r="E263" s="8">
        <v>234.0</v>
      </c>
      <c r="F263" s="4" t="str">
        <f t="shared" si="1"/>
        <v>500 &amp; Below</v>
      </c>
    </row>
    <row r="264" ht="15.75" customHeight="1">
      <c r="A264" s="4" t="s">
        <v>8</v>
      </c>
      <c r="B264" s="7">
        <v>45505.0</v>
      </c>
      <c r="C264" s="4" t="s">
        <v>83</v>
      </c>
      <c r="D264" s="4" t="s">
        <v>194</v>
      </c>
      <c r="E264" s="8">
        <v>5.0</v>
      </c>
      <c r="F264" s="4" t="str">
        <f t="shared" si="1"/>
        <v>500 &amp; Below</v>
      </c>
    </row>
    <row r="265" ht="15.75" customHeight="1">
      <c r="A265" s="4" t="s">
        <v>8</v>
      </c>
      <c r="B265" s="7">
        <v>45505.0</v>
      </c>
      <c r="C265" s="4" t="s">
        <v>83</v>
      </c>
      <c r="D265" s="4" t="s">
        <v>366</v>
      </c>
      <c r="E265" s="8">
        <v>30.0</v>
      </c>
      <c r="F265" s="4" t="str">
        <f t="shared" si="1"/>
        <v>500 &amp; Below</v>
      </c>
    </row>
    <row r="266" ht="15.75" customHeight="1">
      <c r="A266" s="4" t="s">
        <v>8</v>
      </c>
      <c r="B266" s="7">
        <v>45506.0</v>
      </c>
      <c r="C266" s="4" t="s">
        <v>83</v>
      </c>
      <c r="D266" s="4" t="s">
        <v>368</v>
      </c>
      <c r="E266" s="8">
        <v>101.0</v>
      </c>
      <c r="F266" s="4" t="str">
        <f t="shared" si="1"/>
        <v>500 &amp; Below</v>
      </c>
    </row>
    <row r="267" ht="15.75" customHeight="1">
      <c r="A267" s="4" t="s">
        <v>8</v>
      </c>
      <c r="B267" s="7">
        <v>45507.0</v>
      </c>
      <c r="C267" s="4" t="s">
        <v>83</v>
      </c>
      <c r="D267" s="4" t="s">
        <v>124</v>
      </c>
      <c r="E267" s="8">
        <v>299.0</v>
      </c>
      <c r="F267" s="4" t="str">
        <f t="shared" si="1"/>
        <v>500 &amp; Below</v>
      </c>
    </row>
    <row r="268" ht="15.75" customHeight="1">
      <c r="A268" s="4" t="s">
        <v>8</v>
      </c>
      <c r="B268" s="7">
        <v>45507.0</v>
      </c>
      <c r="C268" s="4" t="s">
        <v>83</v>
      </c>
      <c r="D268" s="4" t="s">
        <v>375</v>
      </c>
      <c r="E268" s="8">
        <v>369.0</v>
      </c>
      <c r="F268" s="4" t="str">
        <f t="shared" si="1"/>
        <v>500 &amp; Below</v>
      </c>
    </row>
    <row r="269" ht="15.75" customHeight="1">
      <c r="A269" s="4" t="s">
        <v>8</v>
      </c>
      <c r="B269" s="7">
        <v>45507.0</v>
      </c>
      <c r="C269" s="4" t="s">
        <v>83</v>
      </c>
      <c r="D269" s="4" t="s">
        <v>379</v>
      </c>
      <c r="E269" s="8">
        <v>210.0</v>
      </c>
      <c r="F269" s="4" t="str">
        <f t="shared" si="1"/>
        <v>500 &amp; Below</v>
      </c>
    </row>
    <row r="270" ht="15.75" customHeight="1">
      <c r="A270" s="4" t="s">
        <v>8</v>
      </c>
      <c r="B270" s="7">
        <v>45507.0</v>
      </c>
      <c r="C270" s="4" t="s">
        <v>83</v>
      </c>
      <c r="D270" s="4" t="s">
        <v>383</v>
      </c>
      <c r="E270" s="8">
        <v>1100.0</v>
      </c>
      <c r="F270" s="4" t="str">
        <f t="shared" si="1"/>
        <v>Above 500</v>
      </c>
    </row>
    <row r="271" ht="15.75" customHeight="1">
      <c r="A271" s="4" t="s">
        <v>8</v>
      </c>
      <c r="B271" s="7">
        <v>45507.0</v>
      </c>
      <c r="C271" s="4" t="s">
        <v>83</v>
      </c>
      <c r="D271" s="4" t="s">
        <v>386</v>
      </c>
      <c r="E271" s="8">
        <v>880.0</v>
      </c>
      <c r="F271" s="4" t="str">
        <f t="shared" si="1"/>
        <v>Above 500</v>
      </c>
    </row>
    <row r="272" ht="15.75" customHeight="1">
      <c r="A272" s="4" t="s">
        <v>8</v>
      </c>
      <c r="B272" s="7">
        <v>45507.0</v>
      </c>
      <c r="C272" s="4" t="s">
        <v>83</v>
      </c>
      <c r="D272" s="4" t="s">
        <v>27</v>
      </c>
      <c r="E272" s="8">
        <v>1200.0</v>
      </c>
      <c r="F272" s="4" t="str">
        <f t="shared" si="1"/>
        <v>Above 500</v>
      </c>
    </row>
    <row r="273" ht="15.75" customHeight="1">
      <c r="A273" s="4" t="s">
        <v>8</v>
      </c>
      <c r="B273" s="7">
        <v>45508.0</v>
      </c>
      <c r="C273" s="4" t="s">
        <v>83</v>
      </c>
      <c r="D273" s="4" t="s">
        <v>386</v>
      </c>
      <c r="E273" s="8">
        <v>130.0</v>
      </c>
      <c r="F273" s="4" t="str">
        <f t="shared" si="1"/>
        <v>500 &amp; Below</v>
      </c>
    </row>
    <row r="274" ht="15.75" customHeight="1">
      <c r="A274" s="4" t="s">
        <v>8</v>
      </c>
      <c r="B274" s="7">
        <v>45508.0</v>
      </c>
      <c r="C274" s="4" t="s">
        <v>83</v>
      </c>
      <c r="D274" s="4" t="s">
        <v>396</v>
      </c>
      <c r="E274" s="8">
        <v>10.0</v>
      </c>
      <c r="F274" s="4" t="str">
        <f t="shared" si="1"/>
        <v>500 &amp; Below</v>
      </c>
    </row>
    <row r="275" ht="15.75" customHeight="1">
      <c r="A275" s="4" t="s">
        <v>8</v>
      </c>
      <c r="B275" s="7">
        <v>45508.0</v>
      </c>
      <c r="C275" s="4" t="s">
        <v>83</v>
      </c>
      <c r="D275" s="4" t="s">
        <v>401</v>
      </c>
      <c r="E275" s="8">
        <v>930.0</v>
      </c>
      <c r="F275" s="4" t="str">
        <f t="shared" si="1"/>
        <v>Above 500</v>
      </c>
    </row>
    <row r="276" ht="15.75" customHeight="1">
      <c r="A276" s="4" t="s">
        <v>8</v>
      </c>
      <c r="B276" s="7">
        <v>45508.0</v>
      </c>
      <c r="C276" s="4" t="s">
        <v>83</v>
      </c>
      <c r="D276" s="4" t="s">
        <v>404</v>
      </c>
      <c r="E276" s="8">
        <v>2596.0</v>
      </c>
      <c r="F276" s="4" t="str">
        <f t="shared" si="1"/>
        <v>Above 500</v>
      </c>
    </row>
    <row r="277" ht="15.75" customHeight="1">
      <c r="A277" s="4" t="s">
        <v>8</v>
      </c>
      <c r="B277" s="7">
        <v>45508.0</v>
      </c>
      <c r="C277" s="4" t="s">
        <v>83</v>
      </c>
      <c r="D277" s="4" t="s">
        <v>406</v>
      </c>
      <c r="E277" s="8">
        <v>897.0</v>
      </c>
      <c r="F277" s="4" t="str">
        <f t="shared" si="1"/>
        <v>Above 500</v>
      </c>
    </row>
    <row r="278" ht="15.75" customHeight="1">
      <c r="A278" s="4" t="s">
        <v>8</v>
      </c>
      <c r="B278" s="7">
        <v>45508.0</v>
      </c>
      <c r="C278" s="4" t="s">
        <v>83</v>
      </c>
      <c r="D278" s="4" t="s">
        <v>408</v>
      </c>
      <c r="E278" s="8">
        <v>200.0</v>
      </c>
      <c r="F278" s="4" t="str">
        <f t="shared" si="1"/>
        <v>500 &amp; Below</v>
      </c>
    </row>
    <row r="279" ht="15.75" customHeight="1">
      <c r="A279" s="4" t="s">
        <v>8</v>
      </c>
      <c r="B279" s="7">
        <v>45508.0</v>
      </c>
      <c r="C279" s="4" t="s">
        <v>83</v>
      </c>
      <c r="D279" s="4" t="s">
        <v>412</v>
      </c>
      <c r="E279" s="8">
        <v>500.0</v>
      </c>
      <c r="F279" s="4" t="str">
        <f t="shared" si="1"/>
        <v>500 &amp; Below</v>
      </c>
    </row>
    <row r="280" ht="15.75" customHeight="1">
      <c r="A280" s="4" t="s">
        <v>8</v>
      </c>
      <c r="B280" s="7">
        <v>45508.0</v>
      </c>
      <c r="C280" s="4" t="s">
        <v>83</v>
      </c>
      <c r="D280" s="4" t="s">
        <v>418</v>
      </c>
      <c r="E280" s="8">
        <v>10.0</v>
      </c>
      <c r="F280" s="4" t="str">
        <f t="shared" si="1"/>
        <v>500 &amp; Below</v>
      </c>
    </row>
    <row r="281" ht="15.75" customHeight="1">
      <c r="A281" s="4" t="s">
        <v>8</v>
      </c>
      <c r="B281" s="7">
        <v>45508.0</v>
      </c>
      <c r="C281" s="4" t="s">
        <v>83</v>
      </c>
      <c r="D281" s="4" t="s">
        <v>419</v>
      </c>
      <c r="E281" s="8">
        <v>70.0</v>
      </c>
      <c r="F281" s="4" t="str">
        <f t="shared" si="1"/>
        <v>500 &amp; Below</v>
      </c>
    </row>
    <row r="282" ht="15.75" customHeight="1">
      <c r="A282" s="4" t="s">
        <v>8</v>
      </c>
      <c r="B282" s="7">
        <v>45508.0</v>
      </c>
      <c r="C282" s="4" t="s">
        <v>83</v>
      </c>
      <c r="D282" s="4" t="s">
        <v>420</v>
      </c>
      <c r="E282" s="8">
        <v>735.0</v>
      </c>
      <c r="F282" s="4" t="str">
        <f t="shared" si="1"/>
        <v>Above 500</v>
      </c>
    </row>
    <row r="283" ht="15.75" customHeight="1">
      <c r="A283" s="4" t="s">
        <v>8</v>
      </c>
      <c r="B283" s="7">
        <v>45509.0</v>
      </c>
      <c r="C283" s="4" t="s">
        <v>83</v>
      </c>
      <c r="D283" s="4" t="s">
        <v>386</v>
      </c>
      <c r="E283" s="8">
        <v>350.0</v>
      </c>
      <c r="F283" s="4" t="str">
        <f t="shared" si="1"/>
        <v>500 &amp; Below</v>
      </c>
    </row>
    <row r="284" ht="15.75" customHeight="1">
      <c r="A284" s="4" t="s">
        <v>8</v>
      </c>
      <c r="B284" s="7">
        <v>45509.0</v>
      </c>
      <c r="C284" s="4" t="s">
        <v>83</v>
      </c>
      <c r="D284" s="4" t="s">
        <v>422</v>
      </c>
      <c r="E284" s="8">
        <v>800.0</v>
      </c>
      <c r="F284" s="4" t="str">
        <f t="shared" si="1"/>
        <v>Above 500</v>
      </c>
    </row>
    <row r="285" ht="15.75" customHeight="1">
      <c r="A285" s="4" t="s">
        <v>8</v>
      </c>
      <c r="B285" s="7">
        <v>45509.0</v>
      </c>
      <c r="C285" s="4" t="s">
        <v>83</v>
      </c>
      <c r="D285" s="4" t="s">
        <v>420</v>
      </c>
      <c r="E285" s="8">
        <v>675.0</v>
      </c>
      <c r="F285" s="4" t="str">
        <f t="shared" si="1"/>
        <v>Above 500</v>
      </c>
    </row>
    <row r="286" ht="15.75" customHeight="1">
      <c r="A286" s="4" t="s">
        <v>8</v>
      </c>
      <c r="B286" s="7">
        <v>45509.0</v>
      </c>
      <c r="C286" s="4" t="s">
        <v>83</v>
      </c>
      <c r="D286" s="4" t="s">
        <v>383</v>
      </c>
      <c r="E286" s="8">
        <v>1850.0</v>
      </c>
      <c r="F286" s="4" t="str">
        <f t="shared" si="1"/>
        <v>Above 500</v>
      </c>
    </row>
    <row r="287" ht="15.75" customHeight="1">
      <c r="A287" s="4" t="s">
        <v>8</v>
      </c>
      <c r="B287" s="7">
        <v>45509.0</v>
      </c>
      <c r="C287" s="4" t="s">
        <v>83</v>
      </c>
      <c r="D287" s="4" t="s">
        <v>433</v>
      </c>
      <c r="E287" s="8">
        <v>3000.0</v>
      </c>
      <c r="F287" s="4" t="str">
        <f t="shared" si="1"/>
        <v>Above 500</v>
      </c>
    </row>
    <row r="288" ht="15.75" customHeight="1">
      <c r="A288" s="4" t="s">
        <v>8</v>
      </c>
      <c r="B288" s="7">
        <v>45509.0</v>
      </c>
      <c r="C288" s="4" t="s">
        <v>83</v>
      </c>
      <c r="D288" s="4" t="s">
        <v>437</v>
      </c>
      <c r="E288" s="8">
        <v>5.0</v>
      </c>
      <c r="F288" s="4" t="str">
        <f t="shared" si="1"/>
        <v>500 &amp; Below</v>
      </c>
    </row>
    <row r="289" ht="15.75" customHeight="1">
      <c r="A289" s="4" t="s">
        <v>8</v>
      </c>
      <c r="B289" s="7">
        <v>45509.0</v>
      </c>
      <c r="C289" s="4" t="s">
        <v>83</v>
      </c>
      <c r="D289" s="4" t="s">
        <v>437</v>
      </c>
      <c r="E289" s="8">
        <v>5.0</v>
      </c>
      <c r="F289" s="4" t="str">
        <f t="shared" si="1"/>
        <v>500 &amp; Below</v>
      </c>
    </row>
    <row r="290" ht="15.75" customHeight="1">
      <c r="A290" s="4" t="s">
        <v>8</v>
      </c>
      <c r="B290" s="7">
        <v>45510.0</v>
      </c>
      <c r="C290" s="4" t="s">
        <v>83</v>
      </c>
      <c r="D290" s="4" t="s">
        <v>441</v>
      </c>
      <c r="E290" s="8">
        <v>236.0</v>
      </c>
      <c r="F290" s="4" t="str">
        <f t="shared" si="1"/>
        <v>500 &amp; Below</v>
      </c>
    </row>
    <row r="291" ht="15.75" customHeight="1">
      <c r="A291" s="4" t="s">
        <v>8</v>
      </c>
      <c r="B291" s="7">
        <v>45510.0</v>
      </c>
      <c r="C291" s="4" t="s">
        <v>83</v>
      </c>
      <c r="D291" s="4" t="s">
        <v>442</v>
      </c>
      <c r="E291" s="8">
        <v>30.0</v>
      </c>
      <c r="F291" s="4" t="str">
        <f t="shared" si="1"/>
        <v>500 &amp; Below</v>
      </c>
    </row>
    <row r="292" ht="15.75" customHeight="1">
      <c r="A292" s="4" t="s">
        <v>8</v>
      </c>
      <c r="B292" s="7">
        <v>45510.0</v>
      </c>
      <c r="C292" s="4" t="s">
        <v>83</v>
      </c>
      <c r="D292" s="4" t="s">
        <v>446</v>
      </c>
      <c r="E292" s="8">
        <v>35.0</v>
      </c>
      <c r="F292" s="4" t="str">
        <f t="shared" si="1"/>
        <v>500 &amp; Below</v>
      </c>
    </row>
    <row r="293" ht="15.75" customHeight="1">
      <c r="A293" s="4" t="s">
        <v>8</v>
      </c>
      <c r="B293" s="7">
        <v>45510.0</v>
      </c>
      <c r="C293" s="4" t="s">
        <v>83</v>
      </c>
      <c r="D293" s="4" t="s">
        <v>450</v>
      </c>
      <c r="E293" s="8">
        <v>60.0</v>
      </c>
      <c r="F293" s="4" t="str">
        <f t="shared" si="1"/>
        <v>500 &amp; Below</v>
      </c>
    </row>
    <row r="294" ht="15.75" customHeight="1">
      <c r="A294" s="4" t="s">
        <v>8</v>
      </c>
      <c r="B294" s="7">
        <v>45510.0</v>
      </c>
      <c r="C294" s="4" t="s">
        <v>83</v>
      </c>
      <c r="D294" s="4" t="s">
        <v>379</v>
      </c>
      <c r="E294" s="8">
        <v>70.0</v>
      </c>
      <c r="F294" s="4" t="str">
        <f t="shared" si="1"/>
        <v>500 &amp; Below</v>
      </c>
    </row>
    <row r="295" ht="15.75" customHeight="1">
      <c r="A295" s="4" t="s">
        <v>8</v>
      </c>
      <c r="B295" s="7">
        <v>45510.0</v>
      </c>
      <c r="C295" s="4" t="s">
        <v>83</v>
      </c>
      <c r="D295" s="4" t="s">
        <v>457</v>
      </c>
      <c r="E295" s="8">
        <v>30.0</v>
      </c>
      <c r="F295" s="4" t="str">
        <f t="shared" si="1"/>
        <v>500 &amp; Below</v>
      </c>
    </row>
    <row r="296" ht="15.75" customHeight="1">
      <c r="A296" s="4" t="s">
        <v>8</v>
      </c>
      <c r="B296" s="7">
        <v>45510.0</v>
      </c>
      <c r="C296" s="4" t="s">
        <v>83</v>
      </c>
      <c r="D296" s="4" t="s">
        <v>457</v>
      </c>
      <c r="E296" s="8">
        <v>30.0</v>
      </c>
      <c r="F296" s="4" t="str">
        <f t="shared" si="1"/>
        <v>500 &amp; Below</v>
      </c>
    </row>
    <row r="297" ht="15.75" customHeight="1">
      <c r="A297" s="4" t="s">
        <v>8</v>
      </c>
      <c r="B297" s="7">
        <v>45510.0</v>
      </c>
      <c r="C297" s="4" t="s">
        <v>83</v>
      </c>
      <c r="D297" s="4" t="s">
        <v>464</v>
      </c>
      <c r="E297" s="8">
        <v>490.0</v>
      </c>
      <c r="F297" s="4" t="str">
        <f t="shared" si="1"/>
        <v>500 &amp; Below</v>
      </c>
    </row>
    <row r="298" ht="15.75" customHeight="1">
      <c r="A298" s="4" t="s">
        <v>8</v>
      </c>
      <c r="B298" s="7">
        <v>45510.0</v>
      </c>
      <c r="C298" s="4" t="s">
        <v>83</v>
      </c>
      <c r="D298" s="4" t="s">
        <v>32</v>
      </c>
      <c r="E298" s="8">
        <v>859.0</v>
      </c>
      <c r="F298" s="4" t="str">
        <f t="shared" si="1"/>
        <v>Above 500</v>
      </c>
    </row>
    <row r="299" ht="15.75" customHeight="1">
      <c r="A299" s="4" t="s">
        <v>8</v>
      </c>
      <c r="B299" s="7">
        <v>45511.0</v>
      </c>
      <c r="C299" s="4" t="s">
        <v>83</v>
      </c>
      <c r="D299" s="4" t="s">
        <v>472</v>
      </c>
      <c r="E299" s="8">
        <v>150.0</v>
      </c>
      <c r="F299" s="4" t="str">
        <f t="shared" si="1"/>
        <v>500 &amp; Below</v>
      </c>
    </row>
    <row r="300" ht="15.75" customHeight="1">
      <c r="A300" s="4" t="s">
        <v>8</v>
      </c>
      <c r="B300" s="7">
        <v>45511.0</v>
      </c>
      <c r="C300" s="4" t="s">
        <v>83</v>
      </c>
      <c r="D300" s="4" t="s">
        <v>477</v>
      </c>
      <c r="E300" s="8">
        <v>350.0</v>
      </c>
      <c r="F300" s="4" t="str">
        <f t="shared" si="1"/>
        <v>500 &amp; Below</v>
      </c>
    </row>
    <row r="301" ht="15.75" customHeight="1">
      <c r="A301" s="4" t="s">
        <v>8</v>
      </c>
      <c r="B301" s="7">
        <v>45511.0</v>
      </c>
      <c r="C301" s="4" t="s">
        <v>83</v>
      </c>
      <c r="D301" s="4" t="s">
        <v>481</v>
      </c>
      <c r="E301" s="8">
        <v>85.0</v>
      </c>
      <c r="F301" s="4" t="str">
        <f t="shared" si="1"/>
        <v>500 &amp; Below</v>
      </c>
    </row>
    <row r="302" ht="15.75" customHeight="1">
      <c r="A302" s="4" t="s">
        <v>8</v>
      </c>
      <c r="B302" s="7">
        <v>45511.0</v>
      </c>
      <c r="C302" s="4" t="s">
        <v>83</v>
      </c>
      <c r="D302" s="4" t="s">
        <v>487</v>
      </c>
      <c r="E302" s="8">
        <v>400.0</v>
      </c>
      <c r="F302" s="4" t="str">
        <f t="shared" si="1"/>
        <v>500 &amp; Below</v>
      </c>
    </row>
    <row r="303" ht="15.75" customHeight="1">
      <c r="A303" s="4" t="s">
        <v>8</v>
      </c>
      <c r="B303" s="7">
        <v>45512.0</v>
      </c>
      <c r="C303" s="4" t="s">
        <v>83</v>
      </c>
      <c r="D303" s="4" t="s">
        <v>379</v>
      </c>
      <c r="E303" s="8">
        <v>100.0</v>
      </c>
      <c r="F303" s="4" t="str">
        <f t="shared" si="1"/>
        <v>500 &amp; Below</v>
      </c>
    </row>
    <row r="304" ht="15.75" customHeight="1">
      <c r="A304" s="4" t="s">
        <v>8</v>
      </c>
      <c r="B304" s="7">
        <v>45512.0</v>
      </c>
      <c r="C304" s="4" t="s">
        <v>83</v>
      </c>
      <c r="D304" s="4" t="s">
        <v>441</v>
      </c>
      <c r="E304" s="8">
        <v>47.0</v>
      </c>
      <c r="F304" s="4" t="str">
        <f t="shared" si="1"/>
        <v>500 &amp; Below</v>
      </c>
    </row>
    <row r="305" ht="15.75" customHeight="1">
      <c r="A305" s="4" t="s">
        <v>8</v>
      </c>
      <c r="B305" s="7">
        <v>45512.0</v>
      </c>
      <c r="C305" s="4" t="s">
        <v>83</v>
      </c>
      <c r="D305" s="4" t="s">
        <v>498</v>
      </c>
      <c r="E305" s="8">
        <v>250.0</v>
      </c>
      <c r="F305" s="4" t="str">
        <f t="shared" si="1"/>
        <v>500 &amp; Below</v>
      </c>
    </row>
    <row r="306" ht="15.75" customHeight="1">
      <c r="A306" s="4" t="s">
        <v>8</v>
      </c>
      <c r="B306" s="7">
        <v>45512.0</v>
      </c>
      <c r="C306" s="4" t="s">
        <v>83</v>
      </c>
      <c r="D306" s="4" t="s">
        <v>502</v>
      </c>
      <c r="E306" s="8">
        <v>593.0</v>
      </c>
      <c r="F306" s="4" t="str">
        <f t="shared" si="1"/>
        <v>Above 500</v>
      </c>
    </row>
    <row r="307" ht="15.75" customHeight="1">
      <c r="A307" s="4" t="s">
        <v>8</v>
      </c>
      <c r="B307" s="7">
        <v>45512.0</v>
      </c>
      <c r="C307" s="4" t="s">
        <v>83</v>
      </c>
      <c r="D307" s="4" t="s">
        <v>504</v>
      </c>
      <c r="E307" s="8">
        <v>250.0</v>
      </c>
      <c r="F307" s="4" t="str">
        <f t="shared" si="1"/>
        <v>500 &amp; Below</v>
      </c>
    </row>
    <row r="308" ht="15.75" customHeight="1">
      <c r="A308" s="4" t="s">
        <v>8</v>
      </c>
      <c r="B308" s="7">
        <v>45512.0</v>
      </c>
      <c r="C308" s="4" t="s">
        <v>83</v>
      </c>
      <c r="D308" s="4" t="s">
        <v>510</v>
      </c>
      <c r="E308" s="8">
        <v>40.0</v>
      </c>
      <c r="F308" s="4" t="str">
        <f t="shared" si="1"/>
        <v>500 &amp; Below</v>
      </c>
    </row>
    <row r="309" ht="15.75" customHeight="1">
      <c r="A309" s="4" t="s">
        <v>8</v>
      </c>
      <c r="B309" s="7">
        <v>45512.0</v>
      </c>
      <c r="C309" s="4" t="s">
        <v>83</v>
      </c>
      <c r="D309" s="4" t="s">
        <v>516</v>
      </c>
      <c r="E309" s="8">
        <v>75.0</v>
      </c>
      <c r="F309" s="4" t="str">
        <f t="shared" si="1"/>
        <v>500 &amp; Below</v>
      </c>
    </row>
    <row r="310" ht="15.75" customHeight="1">
      <c r="A310" s="4" t="s">
        <v>8</v>
      </c>
      <c r="B310" s="7">
        <v>45512.0</v>
      </c>
      <c r="C310" s="4" t="s">
        <v>83</v>
      </c>
      <c r="D310" s="4" t="s">
        <v>450</v>
      </c>
      <c r="E310" s="8">
        <v>120.0</v>
      </c>
      <c r="F310" s="4" t="str">
        <f t="shared" si="1"/>
        <v>500 &amp; Below</v>
      </c>
    </row>
    <row r="311" ht="15.75" customHeight="1">
      <c r="A311" s="4" t="s">
        <v>8</v>
      </c>
      <c r="B311" s="7">
        <v>45512.0</v>
      </c>
      <c r="C311" s="4" t="s">
        <v>83</v>
      </c>
      <c r="D311" s="4" t="s">
        <v>527</v>
      </c>
      <c r="E311" s="8">
        <v>25.0</v>
      </c>
      <c r="F311" s="4" t="str">
        <f t="shared" si="1"/>
        <v>500 &amp; Below</v>
      </c>
    </row>
    <row r="312" ht="15.75" customHeight="1">
      <c r="A312" s="4" t="s">
        <v>8</v>
      </c>
      <c r="B312" s="7">
        <v>45514.0</v>
      </c>
      <c r="C312" s="4" t="s">
        <v>83</v>
      </c>
      <c r="D312" s="4" t="s">
        <v>532</v>
      </c>
      <c r="E312" s="8">
        <v>217.0</v>
      </c>
      <c r="F312" s="4" t="str">
        <f t="shared" si="1"/>
        <v>500 &amp; Below</v>
      </c>
    </row>
    <row r="313" ht="15.75" customHeight="1">
      <c r="A313" s="4" t="s">
        <v>8</v>
      </c>
      <c r="B313" s="7">
        <v>45514.0</v>
      </c>
      <c r="C313" s="4" t="s">
        <v>83</v>
      </c>
      <c r="D313" s="4" t="s">
        <v>48</v>
      </c>
      <c r="E313" s="8">
        <v>456.0</v>
      </c>
      <c r="F313" s="4" t="str">
        <f t="shared" si="1"/>
        <v>500 &amp; Below</v>
      </c>
    </row>
    <row r="314" ht="15.75" customHeight="1">
      <c r="A314" s="4" t="s">
        <v>8</v>
      </c>
      <c r="B314" s="7">
        <v>45514.0</v>
      </c>
      <c r="C314" s="4" t="s">
        <v>83</v>
      </c>
      <c r="D314" s="4" t="s">
        <v>39</v>
      </c>
      <c r="E314" s="8">
        <v>10.0</v>
      </c>
      <c r="F314" s="4" t="str">
        <f t="shared" si="1"/>
        <v>500 &amp; Below</v>
      </c>
    </row>
    <row r="315" ht="15.75" customHeight="1">
      <c r="A315" s="4" t="s">
        <v>8</v>
      </c>
      <c r="B315" s="7">
        <v>45515.0</v>
      </c>
      <c r="C315" s="4" t="s">
        <v>83</v>
      </c>
      <c r="D315" s="4" t="s">
        <v>545</v>
      </c>
      <c r="E315" s="8">
        <v>98.0</v>
      </c>
      <c r="F315" s="4" t="str">
        <f t="shared" si="1"/>
        <v>500 &amp; Below</v>
      </c>
    </row>
    <row r="316" ht="15.75" customHeight="1">
      <c r="A316" s="4" t="s">
        <v>8</v>
      </c>
      <c r="B316" s="7">
        <v>45515.0</v>
      </c>
      <c r="C316" s="4" t="s">
        <v>83</v>
      </c>
      <c r="D316" s="4" t="s">
        <v>45</v>
      </c>
      <c r="E316" s="8">
        <v>718.0</v>
      </c>
      <c r="F316" s="4" t="str">
        <f t="shared" si="1"/>
        <v>Above 500</v>
      </c>
    </row>
    <row r="317" ht="15.75" customHeight="1">
      <c r="A317" s="4" t="s">
        <v>8</v>
      </c>
      <c r="B317" s="7">
        <v>45515.0</v>
      </c>
      <c r="C317" s="4" t="s">
        <v>83</v>
      </c>
      <c r="D317" s="4" t="s">
        <v>25</v>
      </c>
      <c r="E317" s="8">
        <v>30.0</v>
      </c>
      <c r="F317" s="4" t="str">
        <f t="shared" si="1"/>
        <v>500 &amp; Below</v>
      </c>
    </row>
    <row r="318" ht="15.75" customHeight="1">
      <c r="A318" s="4" t="s">
        <v>8</v>
      </c>
      <c r="B318" s="7">
        <v>45516.0</v>
      </c>
      <c r="C318" s="4" t="s">
        <v>83</v>
      </c>
      <c r="D318" s="4" t="s">
        <v>560</v>
      </c>
      <c r="E318" s="8">
        <v>500.0</v>
      </c>
      <c r="F318" s="4" t="str">
        <f t="shared" si="1"/>
        <v>500 &amp; Below</v>
      </c>
    </row>
    <row r="319" ht="15.75" customHeight="1">
      <c r="A319" s="4" t="s">
        <v>8</v>
      </c>
      <c r="B319" s="7">
        <v>45516.0</v>
      </c>
      <c r="C319" s="4" t="s">
        <v>83</v>
      </c>
      <c r="D319" s="4" t="s">
        <v>194</v>
      </c>
      <c r="E319" s="8">
        <v>5.0</v>
      </c>
      <c r="F319" s="4" t="str">
        <f t="shared" si="1"/>
        <v>500 &amp; Below</v>
      </c>
    </row>
    <row r="320" ht="15.75" customHeight="1">
      <c r="A320" s="4" t="s">
        <v>8</v>
      </c>
      <c r="B320" s="7">
        <v>45516.0</v>
      </c>
      <c r="C320" s="4" t="s">
        <v>83</v>
      </c>
      <c r="D320" s="4" t="s">
        <v>28</v>
      </c>
      <c r="E320" s="8">
        <v>2000.0</v>
      </c>
      <c r="F320" s="4" t="str">
        <f t="shared" si="1"/>
        <v>Above 500</v>
      </c>
    </row>
    <row r="321" ht="15.75" customHeight="1">
      <c r="A321" s="4" t="s">
        <v>8</v>
      </c>
      <c r="B321" s="7">
        <v>45517.0</v>
      </c>
      <c r="C321" s="4" t="s">
        <v>83</v>
      </c>
      <c r="D321" s="4" t="s">
        <v>277</v>
      </c>
      <c r="E321" s="8">
        <v>3500.0</v>
      </c>
      <c r="F321" s="4" t="str">
        <f t="shared" si="1"/>
        <v>Above 500</v>
      </c>
    </row>
    <row r="322" ht="15.75" customHeight="1">
      <c r="A322" s="4" t="s">
        <v>8</v>
      </c>
      <c r="B322" s="7">
        <v>45518.0</v>
      </c>
      <c r="C322" s="4" t="s">
        <v>83</v>
      </c>
      <c r="D322" s="4" t="s">
        <v>574</v>
      </c>
      <c r="E322" s="8">
        <v>1000.0</v>
      </c>
      <c r="F322" s="4" t="str">
        <f t="shared" si="1"/>
        <v>Above 500</v>
      </c>
    </row>
    <row r="323" ht="15.75" customHeight="1">
      <c r="A323" s="4" t="s">
        <v>8</v>
      </c>
      <c r="B323" s="7">
        <v>45519.0</v>
      </c>
      <c r="C323" s="4" t="s">
        <v>83</v>
      </c>
      <c r="D323" s="4" t="s">
        <v>36</v>
      </c>
      <c r="E323" s="8">
        <v>2023.0</v>
      </c>
      <c r="F323" s="4" t="str">
        <f t="shared" si="1"/>
        <v>Above 500</v>
      </c>
    </row>
    <row r="324" ht="15.75" customHeight="1">
      <c r="A324" s="4" t="s">
        <v>8</v>
      </c>
      <c r="B324" s="7">
        <v>45519.0</v>
      </c>
      <c r="C324" s="4" t="s">
        <v>83</v>
      </c>
      <c r="D324" s="4" t="s">
        <v>36</v>
      </c>
      <c r="E324" s="8">
        <v>2238.0</v>
      </c>
      <c r="F324" s="4" t="str">
        <f t="shared" si="1"/>
        <v>Above 500</v>
      </c>
    </row>
    <row r="325" ht="15.75" customHeight="1">
      <c r="A325" s="4" t="s">
        <v>8</v>
      </c>
      <c r="B325" s="7">
        <v>45519.0</v>
      </c>
      <c r="C325" s="4" t="s">
        <v>83</v>
      </c>
      <c r="D325" s="4" t="s">
        <v>582</v>
      </c>
      <c r="E325" s="8">
        <v>269.83</v>
      </c>
      <c r="F325" s="4" t="str">
        <f t="shared" si="1"/>
        <v>500 &amp; Below</v>
      </c>
    </row>
    <row r="326" ht="15.75" customHeight="1">
      <c r="A326" s="4" t="s">
        <v>8</v>
      </c>
      <c r="B326" s="7">
        <v>45519.0</v>
      </c>
      <c r="C326" s="4" t="s">
        <v>83</v>
      </c>
      <c r="D326" s="4" t="s">
        <v>587</v>
      </c>
      <c r="E326" s="8">
        <v>20.0</v>
      </c>
      <c r="F326" s="4" t="str">
        <f t="shared" si="1"/>
        <v>500 &amp; Below</v>
      </c>
    </row>
    <row r="327" ht="15.75" customHeight="1">
      <c r="A327" s="4" t="s">
        <v>8</v>
      </c>
      <c r="B327" s="7">
        <v>45519.0</v>
      </c>
      <c r="C327" s="4" t="s">
        <v>83</v>
      </c>
      <c r="D327" s="4" t="s">
        <v>590</v>
      </c>
      <c r="E327" s="8">
        <v>60.0</v>
      </c>
      <c r="F327" s="4" t="str">
        <f t="shared" si="1"/>
        <v>500 &amp; Below</v>
      </c>
    </row>
    <row r="328" ht="15.75" customHeight="1">
      <c r="A328" s="4" t="s">
        <v>8</v>
      </c>
      <c r="B328" s="7">
        <v>45520.0</v>
      </c>
      <c r="C328" s="4" t="s">
        <v>83</v>
      </c>
      <c r="D328" s="4" t="s">
        <v>194</v>
      </c>
      <c r="E328" s="8">
        <v>10.0</v>
      </c>
      <c r="F328" s="4" t="str">
        <f t="shared" si="1"/>
        <v>500 &amp; Below</v>
      </c>
    </row>
    <row r="329" ht="15.75" customHeight="1">
      <c r="A329" s="4" t="s">
        <v>8</v>
      </c>
      <c r="B329" s="7">
        <v>45520.0</v>
      </c>
      <c r="C329" s="4" t="s">
        <v>83</v>
      </c>
      <c r="D329" s="4" t="s">
        <v>194</v>
      </c>
      <c r="E329" s="8">
        <v>10.0</v>
      </c>
      <c r="F329" s="4" t="str">
        <f t="shared" si="1"/>
        <v>500 &amp; Below</v>
      </c>
    </row>
    <row r="330" ht="15.75" customHeight="1">
      <c r="A330" s="4" t="s">
        <v>8</v>
      </c>
      <c r="B330" s="7">
        <v>45520.0</v>
      </c>
      <c r="C330" s="4" t="s">
        <v>83</v>
      </c>
      <c r="D330" s="4" t="s">
        <v>103</v>
      </c>
      <c r="E330" s="8">
        <v>1225.0</v>
      </c>
      <c r="F330" s="4" t="str">
        <f t="shared" si="1"/>
        <v>Above 500</v>
      </c>
    </row>
    <row r="331" ht="15.75" customHeight="1">
      <c r="A331" s="4" t="s">
        <v>8</v>
      </c>
      <c r="B331" s="7">
        <v>45520.0</v>
      </c>
      <c r="C331" s="4" t="s">
        <v>83</v>
      </c>
      <c r="D331" s="4" t="s">
        <v>605</v>
      </c>
      <c r="E331" s="8">
        <v>730.0</v>
      </c>
      <c r="F331" s="4" t="str">
        <f t="shared" si="1"/>
        <v>Above 500</v>
      </c>
    </row>
    <row r="332" ht="15.75" customHeight="1">
      <c r="A332" s="4" t="s">
        <v>8</v>
      </c>
      <c r="B332" s="7">
        <v>45520.0</v>
      </c>
      <c r="C332" s="4" t="s">
        <v>83</v>
      </c>
      <c r="D332" s="4" t="s">
        <v>112</v>
      </c>
      <c r="E332" s="8">
        <v>30.0</v>
      </c>
      <c r="F332" s="4" t="str">
        <f t="shared" si="1"/>
        <v>500 &amp; Below</v>
      </c>
    </row>
    <row r="333" ht="15.75" customHeight="1">
      <c r="A333" s="4" t="s">
        <v>8</v>
      </c>
      <c r="B333" s="7">
        <v>45520.0</v>
      </c>
      <c r="C333" s="4" t="s">
        <v>83</v>
      </c>
      <c r="D333" s="4" t="s">
        <v>18</v>
      </c>
      <c r="E333" s="8">
        <v>271.13</v>
      </c>
      <c r="F333" s="4" t="str">
        <f t="shared" si="1"/>
        <v>500 &amp; Below</v>
      </c>
    </row>
    <row r="334" ht="15.75" customHeight="1">
      <c r="A334" s="4" t="s">
        <v>8</v>
      </c>
      <c r="B334" s="7">
        <v>45520.0</v>
      </c>
      <c r="C334" s="4" t="s">
        <v>83</v>
      </c>
      <c r="D334" s="4" t="s">
        <v>39</v>
      </c>
      <c r="E334" s="8">
        <v>50.0</v>
      </c>
      <c r="F334" s="4" t="str">
        <f t="shared" si="1"/>
        <v>500 &amp; Below</v>
      </c>
    </row>
    <row r="335" ht="15.75" customHeight="1">
      <c r="A335" s="4" t="s">
        <v>8</v>
      </c>
      <c r="B335" s="7">
        <v>45520.0</v>
      </c>
      <c r="C335" s="4" t="s">
        <v>83</v>
      </c>
      <c r="D335" s="4" t="s">
        <v>36</v>
      </c>
      <c r="E335" s="8">
        <v>4110.0</v>
      </c>
      <c r="F335" s="4" t="str">
        <f t="shared" si="1"/>
        <v>Above 500</v>
      </c>
    </row>
    <row r="336" ht="15.75" customHeight="1">
      <c r="A336" s="4" t="s">
        <v>8</v>
      </c>
      <c r="B336" s="7">
        <v>45520.0</v>
      </c>
      <c r="C336" s="4" t="s">
        <v>83</v>
      </c>
      <c r="D336" s="4" t="s">
        <v>623</v>
      </c>
      <c r="E336" s="8">
        <v>139.0</v>
      </c>
      <c r="F336" s="4" t="str">
        <f t="shared" si="1"/>
        <v>500 &amp; Below</v>
      </c>
    </row>
    <row r="337" ht="15.75" customHeight="1">
      <c r="A337" s="4" t="s">
        <v>8</v>
      </c>
      <c r="B337" s="7">
        <v>45521.0</v>
      </c>
      <c r="C337" s="4" t="s">
        <v>83</v>
      </c>
      <c r="D337" s="4" t="s">
        <v>24</v>
      </c>
      <c r="E337" s="8">
        <v>20.0</v>
      </c>
      <c r="F337" s="4" t="str">
        <f t="shared" si="1"/>
        <v>500 &amp; Below</v>
      </c>
    </row>
    <row r="338" ht="15.75" customHeight="1">
      <c r="A338" s="4" t="s">
        <v>8</v>
      </c>
      <c r="B338" s="7">
        <v>45521.0</v>
      </c>
      <c r="C338" s="4" t="s">
        <v>83</v>
      </c>
      <c r="D338" s="4" t="s">
        <v>194</v>
      </c>
      <c r="E338" s="8">
        <v>10.0</v>
      </c>
      <c r="F338" s="4" t="str">
        <f t="shared" si="1"/>
        <v>500 &amp; Below</v>
      </c>
    </row>
    <row r="339" ht="15.75" customHeight="1">
      <c r="A339" s="4" t="s">
        <v>8</v>
      </c>
      <c r="B339" s="7">
        <v>45521.0</v>
      </c>
      <c r="C339" s="4" t="s">
        <v>83</v>
      </c>
      <c r="D339" s="4" t="s">
        <v>625</v>
      </c>
      <c r="E339" s="8">
        <v>100.0</v>
      </c>
      <c r="F339" s="4" t="str">
        <f t="shared" si="1"/>
        <v>500 &amp; Below</v>
      </c>
    </row>
    <row r="340" ht="15.75" customHeight="1">
      <c r="A340" s="4" t="s">
        <v>8</v>
      </c>
      <c r="B340" s="7">
        <v>45521.0</v>
      </c>
      <c r="C340" s="4" t="s">
        <v>83</v>
      </c>
      <c r="D340" s="4" t="s">
        <v>77</v>
      </c>
      <c r="E340" s="8">
        <v>920.36</v>
      </c>
      <c r="F340" s="4" t="str">
        <f t="shared" si="1"/>
        <v>Above 500</v>
      </c>
    </row>
    <row r="341" ht="15.75" customHeight="1">
      <c r="A341" s="4" t="s">
        <v>8</v>
      </c>
      <c r="B341" s="7">
        <v>45522.0</v>
      </c>
      <c r="C341" s="4" t="s">
        <v>83</v>
      </c>
      <c r="D341" s="4" t="s">
        <v>632</v>
      </c>
      <c r="E341" s="8">
        <v>280.0</v>
      </c>
      <c r="F341" s="4" t="str">
        <f t="shared" si="1"/>
        <v>500 &amp; Below</v>
      </c>
    </row>
    <row r="342" ht="15.75" customHeight="1">
      <c r="A342" s="4" t="s">
        <v>8</v>
      </c>
      <c r="B342" s="7">
        <v>45522.0</v>
      </c>
      <c r="C342" s="4" t="s">
        <v>83</v>
      </c>
      <c r="D342" s="4" t="s">
        <v>633</v>
      </c>
      <c r="E342" s="8">
        <v>70.0</v>
      </c>
      <c r="F342" s="4" t="str">
        <f t="shared" si="1"/>
        <v>500 &amp; Below</v>
      </c>
    </row>
    <row r="343" ht="15.75" customHeight="1">
      <c r="A343" s="4" t="s">
        <v>8</v>
      </c>
      <c r="B343" s="7">
        <v>45522.0</v>
      </c>
      <c r="C343" s="4" t="s">
        <v>83</v>
      </c>
      <c r="D343" s="4" t="s">
        <v>639</v>
      </c>
      <c r="E343" s="8">
        <v>60.0</v>
      </c>
      <c r="F343" s="4" t="str">
        <f t="shared" si="1"/>
        <v>500 &amp; Below</v>
      </c>
    </row>
    <row r="344" ht="15.75" customHeight="1">
      <c r="A344" s="4" t="s">
        <v>8</v>
      </c>
      <c r="B344" s="7">
        <v>45522.0</v>
      </c>
      <c r="C344" s="4" t="s">
        <v>83</v>
      </c>
      <c r="D344" s="4" t="s">
        <v>117</v>
      </c>
      <c r="E344" s="8">
        <v>40.0</v>
      </c>
      <c r="F344" s="4" t="str">
        <f t="shared" si="1"/>
        <v>500 &amp; Below</v>
      </c>
    </row>
    <row r="345" ht="15.75" customHeight="1">
      <c r="A345" s="4" t="s">
        <v>8</v>
      </c>
      <c r="B345" s="7">
        <v>45522.0</v>
      </c>
      <c r="C345" s="4" t="s">
        <v>83</v>
      </c>
      <c r="D345" s="4" t="s">
        <v>115</v>
      </c>
      <c r="E345" s="8">
        <v>100.0</v>
      </c>
      <c r="F345" s="4" t="str">
        <f t="shared" si="1"/>
        <v>500 &amp; Below</v>
      </c>
    </row>
    <row r="346" ht="15.75" customHeight="1">
      <c r="A346" s="4" t="s">
        <v>8</v>
      </c>
      <c r="B346" s="7">
        <v>45523.0</v>
      </c>
      <c r="C346" s="4" t="s">
        <v>83</v>
      </c>
      <c r="D346" s="4" t="s">
        <v>79</v>
      </c>
      <c r="E346" s="8">
        <v>35.0</v>
      </c>
      <c r="F346" s="4" t="str">
        <f t="shared" si="1"/>
        <v>500 &amp; Below</v>
      </c>
    </row>
    <row r="347" ht="15.75" customHeight="1">
      <c r="A347" s="4" t="s">
        <v>8</v>
      </c>
      <c r="B347" s="7">
        <v>45523.0</v>
      </c>
      <c r="C347" s="4" t="s">
        <v>83</v>
      </c>
      <c r="D347" s="4" t="s">
        <v>39</v>
      </c>
      <c r="E347" s="8">
        <v>50.0</v>
      </c>
      <c r="F347" s="4" t="str">
        <f t="shared" si="1"/>
        <v>500 &amp; Below</v>
      </c>
    </row>
    <row r="348" ht="15.75" customHeight="1">
      <c r="A348" s="4" t="s">
        <v>8</v>
      </c>
      <c r="B348" s="7">
        <v>45523.0</v>
      </c>
      <c r="C348" s="4" t="s">
        <v>83</v>
      </c>
      <c r="D348" s="4" t="s">
        <v>112</v>
      </c>
      <c r="E348" s="8">
        <v>10.0</v>
      </c>
      <c r="F348" s="4" t="str">
        <f t="shared" si="1"/>
        <v>500 &amp; Below</v>
      </c>
    </row>
    <row r="349" ht="15.75" customHeight="1">
      <c r="A349" s="4" t="s">
        <v>8</v>
      </c>
      <c r="B349" s="7">
        <v>45523.0</v>
      </c>
      <c r="C349" s="4" t="s">
        <v>83</v>
      </c>
      <c r="D349" s="4" t="s">
        <v>107</v>
      </c>
      <c r="E349" s="8">
        <v>50.0</v>
      </c>
      <c r="F349" s="4" t="str">
        <f t="shared" si="1"/>
        <v>500 &amp; Below</v>
      </c>
    </row>
    <row r="350" ht="15.75" customHeight="1">
      <c r="A350" s="4" t="s">
        <v>8</v>
      </c>
      <c r="B350" s="7">
        <v>45523.0</v>
      </c>
      <c r="C350" s="4" t="s">
        <v>83</v>
      </c>
      <c r="D350" s="4" t="s">
        <v>27</v>
      </c>
      <c r="E350" s="8">
        <v>100.0</v>
      </c>
      <c r="F350" s="4" t="str">
        <f t="shared" si="1"/>
        <v>500 &amp; Below</v>
      </c>
    </row>
    <row r="351" ht="15.75" customHeight="1">
      <c r="A351" s="4" t="s">
        <v>8</v>
      </c>
      <c r="B351" s="7">
        <v>45524.0</v>
      </c>
      <c r="C351" s="4" t="s">
        <v>83</v>
      </c>
      <c r="D351" s="4" t="s">
        <v>286</v>
      </c>
      <c r="E351" s="8">
        <v>100.0</v>
      </c>
      <c r="F351" s="4" t="str">
        <f t="shared" si="1"/>
        <v>500 &amp; Below</v>
      </c>
    </row>
    <row r="352" ht="15.75" customHeight="1">
      <c r="A352" s="4" t="s">
        <v>8</v>
      </c>
      <c r="B352" s="7">
        <v>45524.0</v>
      </c>
      <c r="C352" s="4" t="s">
        <v>83</v>
      </c>
      <c r="D352" s="4" t="s">
        <v>670</v>
      </c>
      <c r="E352" s="8">
        <v>12.0</v>
      </c>
      <c r="F352" s="4" t="str">
        <f t="shared" si="1"/>
        <v>500 &amp; Below</v>
      </c>
    </row>
    <row r="353" ht="15.75" customHeight="1">
      <c r="A353" s="4" t="s">
        <v>8</v>
      </c>
      <c r="B353" s="7">
        <v>45525.0</v>
      </c>
      <c r="C353" s="4" t="s">
        <v>83</v>
      </c>
      <c r="D353" s="4" t="s">
        <v>675</v>
      </c>
      <c r="E353" s="8">
        <v>10.0</v>
      </c>
      <c r="F353" s="4" t="str">
        <f t="shared" si="1"/>
        <v>500 &amp; Below</v>
      </c>
    </row>
    <row r="354" ht="15.75" customHeight="1">
      <c r="A354" s="4" t="s">
        <v>8</v>
      </c>
      <c r="B354" s="7">
        <v>45525.0</v>
      </c>
      <c r="C354" s="4" t="s">
        <v>83</v>
      </c>
      <c r="D354" s="4" t="s">
        <v>115</v>
      </c>
      <c r="E354" s="8">
        <v>100.0</v>
      </c>
      <c r="F354" s="4" t="str">
        <f t="shared" si="1"/>
        <v>500 &amp; Below</v>
      </c>
    </row>
    <row r="355" ht="15.75" customHeight="1">
      <c r="A355" s="4" t="s">
        <v>8</v>
      </c>
      <c r="B355" s="7">
        <v>45526.0</v>
      </c>
      <c r="C355" s="4" t="s">
        <v>83</v>
      </c>
      <c r="D355" s="4" t="s">
        <v>683</v>
      </c>
      <c r="E355" s="8">
        <v>45.0</v>
      </c>
      <c r="F355" s="4" t="str">
        <f t="shared" si="1"/>
        <v>500 &amp; Below</v>
      </c>
    </row>
    <row r="356" ht="15.75" customHeight="1">
      <c r="A356" s="4" t="s">
        <v>8</v>
      </c>
      <c r="B356" s="7">
        <v>45526.0</v>
      </c>
      <c r="C356" s="4" t="s">
        <v>83</v>
      </c>
      <c r="D356" s="4" t="s">
        <v>124</v>
      </c>
      <c r="E356" s="8">
        <v>509.0</v>
      </c>
      <c r="F356" s="4" t="str">
        <f t="shared" si="1"/>
        <v>Above 500</v>
      </c>
    </row>
    <row r="357" ht="15.75" customHeight="1">
      <c r="A357" s="4" t="s">
        <v>8</v>
      </c>
      <c r="B357" s="7">
        <v>45527.0</v>
      </c>
      <c r="C357" s="4" t="s">
        <v>83</v>
      </c>
      <c r="D357" s="4" t="s">
        <v>47</v>
      </c>
      <c r="E357" s="8">
        <v>40.0</v>
      </c>
      <c r="F357" s="4" t="str">
        <f t="shared" si="1"/>
        <v>500 &amp; Below</v>
      </c>
    </row>
    <row r="358" ht="15.75" customHeight="1">
      <c r="A358" s="4" t="s">
        <v>8</v>
      </c>
      <c r="B358" s="7">
        <v>45527.0</v>
      </c>
      <c r="C358" s="4" t="s">
        <v>83</v>
      </c>
      <c r="D358" s="4" t="s">
        <v>18</v>
      </c>
      <c r="E358" s="8">
        <v>231.98</v>
      </c>
      <c r="F358" s="4" t="str">
        <f t="shared" si="1"/>
        <v>500 &amp; Below</v>
      </c>
    </row>
    <row r="359" ht="15.75" customHeight="1">
      <c r="A359" s="4" t="s">
        <v>8</v>
      </c>
      <c r="B359" s="7">
        <v>45528.0</v>
      </c>
      <c r="C359" s="4" t="s">
        <v>83</v>
      </c>
      <c r="D359" s="4" t="s">
        <v>703</v>
      </c>
      <c r="E359" s="8">
        <v>30.0</v>
      </c>
      <c r="F359" s="4" t="str">
        <f t="shared" si="1"/>
        <v>500 &amp; Below</v>
      </c>
    </row>
    <row r="360" ht="15.75" customHeight="1">
      <c r="A360" s="4" t="s">
        <v>8</v>
      </c>
      <c r="B360" s="7">
        <v>45528.0</v>
      </c>
      <c r="C360" s="4" t="s">
        <v>83</v>
      </c>
      <c r="D360" s="4" t="s">
        <v>277</v>
      </c>
      <c r="E360" s="8">
        <v>450.0</v>
      </c>
      <c r="F360" s="4" t="str">
        <f t="shared" si="1"/>
        <v>500 &amp; Below</v>
      </c>
    </row>
    <row r="361" ht="15.75" customHeight="1">
      <c r="A361" s="4" t="s">
        <v>8</v>
      </c>
      <c r="B361" s="7">
        <v>45529.0</v>
      </c>
      <c r="C361" s="4" t="s">
        <v>83</v>
      </c>
      <c r="D361" s="4" t="s">
        <v>709</v>
      </c>
      <c r="E361" s="8">
        <v>600.0</v>
      </c>
      <c r="F361" s="4" t="str">
        <f t="shared" si="1"/>
        <v>Above 500</v>
      </c>
    </row>
    <row r="362" ht="15.75" customHeight="1">
      <c r="A362" s="4" t="s">
        <v>8</v>
      </c>
      <c r="B362" s="7">
        <v>45529.0</v>
      </c>
      <c r="C362" s="4" t="s">
        <v>83</v>
      </c>
      <c r="D362" s="4" t="s">
        <v>715</v>
      </c>
      <c r="E362" s="8">
        <v>20.0</v>
      </c>
      <c r="F362" s="4" t="str">
        <f t="shared" si="1"/>
        <v>500 &amp; Below</v>
      </c>
    </row>
    <row r="363" ht="15.75" customHeight="1">
      <c r="A363" s="4" t="s">
        <v>8</v>
      </c>
      <c r="B363" s="7">
        <v>45529.0</v>
      </c>
      <c r="C363" s="4" t="s">
        <v>83</v>
      </c>
      <c r="D363" s="4" t="s">
        <v>717</v>
      </c>
      <c r="E363" s="8">
        <v>180.0</v>
      </c>
      <c r="F363" s="4" t="str">
        <f t="shared" si="1"/>
        <v>500 &amp; Below</v>
      </c>
    </row>
    <row r="364" ht="15.75" customHeight="1">
      <c r="A364" s="4" t="s">
        <v>8</v>
      </c>
      <c r="B364" s="7">
        <v>45529.0</v>
      </c>
      <c r="C364" s="4" t="s">
        <v>83</v>
      </c>
      <c r="D364" s="4" t="s">
        <v>25</v>
      </c>
      <c r="E364" s="8">
        <v>120.0</v>
      </c>
      <c r="F364" s="4" t="str">
        <f t="shared" si="1"/>
        <v>500 &amp; Below</v>
      </c>
    </row>
    <row r="365" ht="15.75" customHeight="1">
      <c r="A365" s="4" t="s">
        <v>8</v>
      </c>
      <c r="B365" s="7">
        <v>45530.0</v>
      </c>
      <c r="C365" s="4" t="s">
        <v>83</v>
      </c>
      <c r="D365" s="4" t="s">
        <v>723</v>
      </c>
      <c r="E365" s="8">
        <v>15.0</v>
      </c>
      <c r="F365" s="4" t="str">
        <f t="shared" si="1"/>
        <v>500 &amp; Below</v>
      </c>
    </row>
    <row r="366" ht="15.75" customHeight="1">
      <c r="A366" s="4" t="s">
        <v>8</v>
      </c>
      <c r="B366" s="7">
        <v>45530.0</v>
      </c>
      <c r="C366" s="4" t="s">
        <v>83</v>
      </c>
      <c r="D366" s="4" t="s">
        <v>725</v>
      </c>
      <c r="E366" s="8">
        <v>200.0</v>
      </c>
      <c r="F366" s="4" t="str">
        <f t="shared" si="1"/>
        <v>500 &amp; Below</v>
      </c>
    </row>
    <row r="367" ht="15.75" customHeight="1">
      <c r="A367" s="4" t="s">
        <v>8</v>
      </c>
      <c r="B367" s="7">
        <v>45531.0</v>
      </c>
      <c r="C367" s="4" t="s">
        <v>83</v>
      </c>
      <c r="D367" s="4" t="s">
        <v>730</v>
      </c>
      <c r="E367" s="8">
        <v>90.0</v>
      </c>
      <c r="F367" s="4" t="str">
        <f t="shared" si="1"/>
        <v>500 &amp; Below</v>
      </c>
    </row>
    <row r="368" ht="15.75" customHeight="1">
      <c r="A368" s="4" t="s">
        <v>8</v>
      </c>
      <c r="B368" s="7">
        <v>45531.0</v>
      </c>
      <c r="C368" s="4" t="s">
        <v>83</v>
      </c>
      <c r="D368" s="4" t="s">
        <v>734</v>
      </c>
      <c r="E368" s="8">
        <v>10.0</v>
      </c>
      <c r="F368" s="4" t="str">
        <f t="shared" si="1"/>
        <v>500 &amp; Below</v>
      </c>
    </row>
    <row r="369" ht="15.75" customHeight="1">
      <c r="A369" s="4" t="s">
        <v>8</v>
      </c>
      <c r="B369" s="7">
        <v>45531.0</v>
      </c>
      <c r="C369" s="4" t="s">
        <v>83</v>
      </c>
      <c r="D369" s="4" t="s">
        <v>748</v>
      </c>
      <c r="E369" s="8">
        <v>135.0</v>
      </c>
      <c r="F369" s="4" t="str">
        <f t="shared" si="1"/>
        <v>500 &amp; Below</v>
      </c>
    </row>
    <row r="370" ht="15.75" customHeight="1">
      <c r="A370" s="4" t="s">
        <v>8</v>
      </c>
      <c r="B370" s="7">
        <v>45531.0</v>
      </c>
      <c r="C370" s="4" t="s">
        <v>83</v>
      </c>
      <c r="D370" s="4" t="s">
        <v>750</v>
      </c>
      <c r="E370" s="8">
        <v>70.0</v>
      </c>
      <c r="F370" s="4" t="str">
        <f t="shared" si="1"/>
        <v>500 &amp; Below</v>
      </c>
    </row>
    <row r="371" ht="15.75" customHeight="1">
      <c r="A371" s="4" t="s">
        <v>8</v>
      </c>
      <c r="B371" s="7">
        <v>45531.0</v>
      </c>
      <c r="C371" s="4" t="s">
        <v>83</v>
      </c>
      <c r="D371" s="4" t="s">
        <v>112</v>
      </c>
      <c r="E371" s="8">
        <v>20.0</v>
      </c>
      <c r="F371" s="4" t="str">
        <f t="shared" si="1"/>
        <v>500 &amp; Below</v>
      </c>
    </row>
    <row r="372" ht="15.75" customHeight="1">
      <c r="A372" s="4" t="s">
        <v>8</v>
      </c>
      <c r="B372" s="7">
        <v>45532.0</v>
      </c>
      <c r="C372" s="4" t="s">
        <v>83</v>
      </c>
      <c r="D372" s="4" t="s">
        <v>191</v>
      </c>
      <c r="E372" s="8">
        <v>320.0</v>
      </c>
      <c r="F372" s="4" t="str">
        <f t="shared" si="1"/>
        <v>500 &amp; Below</v>
      </c>
    </row>
    <row r="373" ht="15.75" customHeight="1">
      <c r="A373" s="4" t="s">
        <v>8</v>
      </c>
      <c r="B373" s="7">
        <v>45532.0</v>
      </c>
      <c r="C373" s="4" t="s">
        <v>83</v>
      </c>
      <c r="D373" s="4" t="s">
        <v>25</v>
      </c>
      <c r="E373" s="8">
        <v>9.0</v>
      </c>
      <c r="F373" s="4" t="str">
        <f t="shared" si="1"/>
        <v>500 &amp; Below</v>
      </c>
    </row>
    <row r="374" ht="15.75" customHeight="1">
      <c r="A374" s="4" t="s">
        <v>8</v>
      </c>
      <c r="B374" s="7">
        <v>45532.0</v>
      </c>
      <c r="C374" s="4" t="s">
        <v>83</v>
      </c>
      <c r="D374" s="4" t="s">
        <v>357</v>
      </c>
      <c r="E374" s="8">
        <v>10.0</v>
      </c>
      <c r="F374" s="4" t="str">
        <f t="shared" si="1"/>
        <v>500 &amp; Below</v>
      </c>
    </row>
    <row r="375" ht="15.75" customHeight="1">
      <c r="A375" s="4" t="s">
        <v>8</v>
      </c>
      <c r="B375" s="7">
        <v>45533.0</v>
      </c>
      <c r="C375" s="4" t="s">
        <v>83</v>
      </c>
      <c r="D375" s="4" t="s">
        <v>18</v>
      </c>
      <c r="E375" s="8">
        <v>414.82</v>
      </c>
      <c r="F375" s="4" t="str">
        <f t="shared" si="1"/>
        <v>500 &amp; Below</v>
      </c>
    </row>
    <row r="376" ht="15.75" customHeight="1">
      <c r="A376" s="4" t="s">
        <v>8</v>
      </c>
      <c r="B376" s="7">
        <v>45533.0</v>
      </c>
      <c r="C376" s="4" t="s">
        <v>83</v>
      </c>
      <c r="D376" s="4" t="s">
        <v>194</v>
      </c>
      <c r="E376" s="8">
        <v>10.0</v>
      </c>
      <c r="F376" s="4" t="str">
        <f t="shared" si="1"/>
        <v>500 &amp; Below</v>
      </c>
    </row>
    <row r="377" ht="15.75" customHeight="1">
      <c r="A377" s="4" t="s">
        <v>8</v>
      </c>
      <c r="B377" s="7">
        <v>45533.0</v>
      </c>
      <c r="C377" s="4" t="s">
        <v>83</v>
      </c>
      <c r="D377" s="4" t="s">
        <v>18</v>
      </c>
      <c r="E377" s="8">
        <v>214.0</v>
      </c>
      <c r="F377" s="4" t="str">
        <f t="shared" si="1"/>
        <v>500 &amp; Below</v>
      </c>
    </row>
    <row r="378" ht="15.75" customHeight="1">
      <c r="A378" s="4" t="s">
        <v>8</v>
      </c>
      <c r="B378" s="7">
        <v>45534.0</v>
      </c>
      <c r="C378" s="4" t="s">
        <v>83</v>
      </c>
      <c r="D378" s="4" t="s">
        <v>58</v>
      </c>
      <c r="E378" s="8">
        <v>30.0</v>
      </c>
      <c r="F378" s="4" t="str">
        <f t="shared" si="1"/>
        <v>500 &amp; Below</v>
      </c>
    </row>
    <row r="379" ht="15.75" customHeight="1">
      <c r="A379" s="4" t="s">
        <v>8</v>
      </c>
      <c r="B379" s="7">
        <v>45534.0</v>
      </c>
      <c r="C379" s="4" t="s">
        <v>83</v>
      </c>
      <c r="D379" s="4" t="s">
        <v>808</v>
      </c>
      <c r="E379" s="8">
        <v>3.0</v>
      </c>
      <c r="F379" s="4" t="str">
        <f t="shared" si="1"/>
        <v>500 &amp; Below</v>
      </c>
    </row>
    <row r="380" ht="15.75" customHeight="1">
      <c r="A380" s="4" t="s">
        <v>8</v>
      </c>
      <c r="B380" s="7">
        <v>45534.0</v>
      </c>
      <c r="C380" s="4" t="s">
        <v>83</v>
      </c>
      <c r="D380" s="4" t="s">
        <v>194</v>
      </c>
      <c r="E380" s="8">
        <v>40.0</v>
      </c>
      <c r="F380" s="4" t="str">
        <f t="shared" si="1"/>
        <v>500 &amp; Below</v>
      </c>
    </row>
    <row r="381" ht="15.75" customHeight="1">
      <c r="A381" s="4" t="s">
        <v>8</v>
      </c>
      <c r="B381" s="7">
        <v>45534.0</v>
      </c>
      <c r="C381" s="4" t="s">
        <v>83</v>
      </c>
      <c r="D381" s="4" t="s">
        <v>121</v>
      </c>
      <c r="E381" s="8">
        <v>5.0</v>
      </c>
      <c r="F381" s="4" t="str">
        <f t="shared" si="1"/>
        <v>500 &amp; Below</v>
      </c>
    </row>
    <row r="382" ht="15.75" customHeight="1">
      <c r="A382" s="4" t="s">
        <v>8</v>
      </c>
      <c r="B382" s="7">
        <v>45535.0</v>
      </c>
      <c r="C382" s="4" t="s">
        <v>83</v>
      </c>
      <c r="D382" s="4" t="s">
        <v>675</v>
      </c>
      <c r="E382" s="8">
        <v>20.0</v>
      </c>
      <c r="F382" s="4" t="str">
        <f t="shared" si="1"/>
        <v>500 &amp; Below</v>
      </c>
    </row>
    <row r="383" ht="15.75" customHeight="1">
      <c r="A383" s="4" t="s">
        <v>8</v>
      </c>
      <c r="B383" s="7">
        <v>45535.0</v>
      </c>
      <c r="C383" s="4" t="s">
        <v>83</v>
      </c>
      <c r="D383" s="4" t="s">
        <v>37</v>
      </c>
      <c r="E383" s="8">
        <v>319.0</v>
      </c>
      <c r="F383" s="4" t="str">
        <f t="shared" si="1"/>
        <v>500 &amp; Below</v>
      </c>
    </row>
    <row r="384" ht="15.75" customHeight="1">
      <c r="A384" s="4" t="s">
        <v>8</v>
      </c>
      <c r="B384" s="7">
        <v>45535.0</v>
      </c>
      <c r="C384" s="4" t="s">
        <v>83</v>
      </c>
      <c r="D384" s="4" t="s">
        <v>48</v>
      </c>
      <c r="E384" s="8">
        <v>240.0</v>
      </c>
      <c r="F384" s="4" t="str">
        <f t="shared" si="1"/>
        <v>500 &amp; Below</v>
      </c>
    </row>
    <row r="385" ht="15.75" customHeight="1">
      <c r="A385" s="4" t="s">
        <v>8</v>
      </c>
      <c r="B385" s="7">
        <v>45535.0</v>
      </c>
      <c r="C385" s="4" t="s">
        <v>83</v>
      </c>
      <c r="D385" s="4" t="s">
        <v>826</v>
      </c>
      <c r="E385" s="8">
        <v>75.0</v>
      </c>
      <c r="F385" s="4" t="str">
        <f t="shared" si="1"/>
        <v>500 &amp; Below</v>
      </c>
    </row>
    <row r="386" ht="15.75" customHeight="1">
      <c r="A386" s="4" t="s">
        <v>8</v>
      </c>
      <c r="B386" s="7">
        <v>45535.0</v>
      </c>
      <c r="C386" s="4" t="s">
        <v>83</v>
      </c>
      <c r="D386" s="4" t="s">
        <v>829</v>
      </c>
      <c r="E386" s="8">
        <v>20.0</v>
      </c>
      <c r="F386" s="4" t="str">
        <f t="shared" si="1"/>
        <v>500 &amp; Below</v>
      </c>
    </row>
    <row r="387" ht="15.75" customHeight="1">
      <c r="A387" s="4" t="s">
        <v>8</v>
      </c>
      <c r="B387" s="7">
        <v>45536.0</v>
      </c>
      <c r="C387" s="4" t="s">
        <v>95</v>
      </c>
      <c r="D387" s="4" t="s">
        <v>832</v>
      </c>
      <c r="E387" s="8">
        <v>299.0</v>
      </c>
      <c r="F387" s="4" t="str">
        <f t="shared" si="1"/>
        <v>500 &amp; Below</v>
      </c>
    </row>
    <row r="388" ht="15.75" customHeight="1">
      <c r="A388" s="4" t="s">
        <v>8</v>
      </c>
      <c r="B388" s="7">
        <v>45536.0</v>
      </c>
      <c r="C388" s="4" t="s">
        <v>95</v>
      </c>
      <c r="D388" s="4" t="s">
        <v>25</v>
      </c>
      <c r="E388" s="8">
        <v>27.0</v>
      </c>
      <c r="F388" s="4" t="str">
        <f t="shared" si="1"/>
        <v>500 &amp; Below</v>
      </c>
    </row>
    <row r="389" ht="15.75" customHeight="1">
      <c r="A389" s="4" t="s">
        <v>8</v>
      </c>
      <c r="B389" s="7">
        <v>45536.0</v>
      </c>
      <c r="C389" s="4" t="s">
        <v>95</v>
      </c>
      <c r="D389" s="4" t="s">
        <v>841</v>
      </c>
      <c r="E389" s="8">
        <v>100.0</v>
      </c>
      <c r="F389" s="4" t="str">
        <f t="shared" si="1"/>
        <v>500 &amp; Below</v>
      </c>
    </row>
    <row r="390" ht="15.75" customHeight="1">
      <c r="A390" s="4" t="s">
        <v>8</v>
      </c>
      <c r="B390" s="7">
        <v>45536.0</v>
      </c>
      <c r="C390" s="4" t="s">
        <v>95</v>
      </c>
      <c r="D390" s="4" t="s">
        <v>117</v>
      </c>
      <c r="E390" s="8">
        <v>145.0</v>
      </c>
      <c r="F390" s="4" t="str">
        <f t="shared" si="1"/>
        <v>500 &amp; Below</v>
      </c>
    </row>
    <row r="391" ht="15.75" customHeight="1">
      <c r="A391" s="4" t="s">
        <v>8</v>
      </c>
      <c r="B391" s="7">
        <v>45537.0</v>
      </c>
      <c r="C391" s="4" t="s">
        <v>95</v>
      </c>
      <c r="D391" s="4" t="s">
        <v>849</v>
      </c>
      <c r="E391" s="8">
        <v>1000.0</v>
      </c>
      <c r="F391" s="4" t="str">
        <f t="shared" si="1"/>
        <v>Above 500</v>
      </c>
    </row>
    <row r="392" ht="15.75" customHeight="1">
      <c r="A392" s="4" t="s">
        <v>8</v>
      </c>
      <c r="B392" s="7">
        <v>45537.0</v>
      </c>
      <c r="C392" s="4" t="s">
        <v>95</v>
      </c>
      <c r="D392" s="4" t="s">
        <v>194</v>
      </c>
      <c r="E392" s="8">
        <v>30.0</v>
      </c>
      <c r="F392" s="4" t="str">
        <f t="shared" si="1"/>
        <v>500 &amp; Below</v>
      </c>
    </row>
    <row r="393" ht="15.75" customHeight="1">
      <c r="A393" s="4" t="s">
        <v>8</v>
      </c>
      <c r="B393" s="7">
        <v>45537.0</v>
      </c>
      <c r="C393" s="4" t="s">
        <v>95</v>
      </c>
      <c r="D393" s="4" t="s">
        <v>858</v>
      </c>
      <c r="E393" s="8">
        <v>20.0</v>
      </c>
      <c r="F393" s="4" t="str">
        <f t="shared" si="1"/>
        <v>500 &amp; Below</v>
      </c>
    </row>
    <row r="394" ht="15.75" customHeight="1">
      <c r="A394" s="4" t="s">
        <v>8</v>
      </c>
      <c r="B394" s="7">
        <v>45537.0</v>
      </c>
      <c r="C394" s="4" t="s">
        <v>95</v>
      </c>
      <c r="D394" s="4" t="s">
        <v>24</v>
      </c>
      <c r="E394" s="8">
        <v>10.0</v>
      </c>
      <c r="F394" s="4" t="str">
        <f t="shared" si="1"/>
        <v>500 &amp; Below</v>
      </c>
    </row>
    <row r="395" ht="15.75" customHeight="1">
      <c r="A395" s="4" t="s">
        <v>8</v>
      </c>
      <c r="B395" s="7">
        <v>45537.0</v>
      </c>
      <c r="C395" s="4" t="s">
        <v>95</v>
      </c>
      <c r="D395" s="4" t="s">
        <v>867</v>
      </c>
      <c r="E395" s="8">
        <v>139.0</v>
      </c>
      <c r="F395" s="4" t="str">
        <f t="shared" si="1"/>
        <v>500 &amp; Below</v>
      </c>
    </row>
    <row r="396" ht="15.75" customHeight="1">
      <c r="A396" s="4" t="s">
        <v>8</v>
      </c>
      <c r="B396" s="7">
        <v>45538.0</v>
      </c>
      <c r="C396" s="4" t="s">
        <v>95</v>
      </c>
      <c r="D396" s="4" t="s">
        <v>27</v>
      </c>
      <c r="E396" s="8">
        <v>2000.0</v>
      </c>
      <c r="F396" s="4" t="str">
        <f t="shared" si="1"/>
        <v>Above 500</v>
      </c>
    </row>
    <row r="397" ht="15.75" customHeight="1">
      <c r="A397" s="4" t="s">
        <v>8</v>
      </c>
      <c r="B397" s="7">
        <v>45538.0</v>
      </c>
      <c r="C397" s="4" t="s">
        <v>95</v>
      </c>
      <c r="D397" s="4" t="s">
        <v>25</v>
      </c>
      <c r="E397" s="8">
        <v>20.0</v>
      </c>
      <c r="F397" s="4" t="str">
        <f t="shared" si="1"/>
        <v>500 &amp; Below</v>
      </c>
    </row>
    <row r="398" ht="15.75" customHeight="1">
      <c r="A398" s="4" t="s">
        <v>8</v>
      </c>
      <c r="B398" s="7">
        <v>45538.0</v>
      </c>
      <c r="C398" s="4" t="s">
        <v>95</v>
      </c>
      <c r="D398" s="4" t="s">
        <v>25</v>
      </c>
      <c r="E398" s="8">
        <v>18.0</v>
      </c>
      <c r="F398" s="4" t="str">
        <f t="shared" si="1"/>
        <v>500 &amp; Below</v>
      </c>
    </row>
    <row r="399" ht="15.75" customHeight="1">
      <c r="A399" s="4" t="s">
        <v>8</v>
      </c>
      <c r="B399" s="7">
        <v>45538.0</v>
      </c>
      <c r="C399" s="4" t="s">
        <v>95</v>
      </c>
      <c r="D399" s="4" t="s">
        <v>18</v>
      </c>
      <c r="E399" s="8">
        <v>107.2</v>
      </c>
      <c r="F399" s="4" t="str">
        <f t="shared" si="1"/>
        <v>500 &amp; Below</v>
      </c>
    </row>
    <row r="400" ht="15.75" customHeight="1">
      <c r="A400" s="4" t="s">
        <v>8</v>
      </c>
      <c r="B400" s="7">
        <v>45538.0</v>
      </c>
      <c r="C400" s="4" t="s">
        <v>95</v>
      </c>
      <c r="D400" s="4" t="s">
        <v>887</v>
      </c>
      <c r="E400" s="8">
        <v>50.0</v>
      </c>
      <c r="F400" s="4" t="str">
        <f t="shared" si="1"/>
        <v>500 &amp; Below</v>
      </c>
    </row>
    <row r="401" ht="15.75" customHeight="1">
      <c r="A401" s="4" t="s">
        <v>8</v>
      </c>
      <c r="B401" s="7">
        <v>45538.0</v>
      </c>
      <c r="C401" s="4" t="s">
        <v>95</v>
      </c>
      <c r="D401" s="4" t="s">
        <v>119</v>
      </c>
      <c r="E401" s="8">
        <v>145.0</v>
      </c>
      <c r="F401" s="4" t="str">
        <f t="shared" si="1"/>
        <v>500 &amp; Below</v>
      </c>
    </row>
    <row r="402" ht="15.75" customHeight="1">
      <c r="A402" s="4" t="s">
        <v>8</v>
      </c>
      <c r="B402" s="7">
        <v>45539.0</v>
      </c>
      <c r="C402" s="4" t="s">
        <v>95</v>
      </c>
      <c r="D402" s="4" t="s">
        <v>895</v>
      </c>
      <c r="E402" s="8">
        <v>4.0</v>
      </c>
      <c r="F402" s="4" t="str">
        <f t="shared" si="1"/>
        <v>500 &amp; Below</v>
      </c>
    </row>
    <row r="403" ht="15.75" customHeight="1">
      <c r="A403" s="4" t="s">
        <v>8</v>
      </c>
      <c r="B403" s="7">
        <v>45539.0</v>
      </c>
      <c r="C403" s="4" t="s">
        <v>95</v>
      </c>
      <c r="D403" s="4" t="s">
        <v>106</v>
      </c>
      <c r="E403" s="8">
        <v>20.0</v>
      </c>
      <c r="F403" s="4" t="str">
        <f t="shared" si="1"/>
        <v>500 &amp; Below</v>
      </c>
    </row>
    <row r="404" ht="15.75" customHeight="1">
      <c r="A404" s="4" t="s">
        <v>8</v>
      </c>
      <c r="B404" s="7">
        <v>45540.0</v>
      </c>
      <c r="C404" s="4" t="s">
        <v>95</v>
      </c>
      <c r="D404" s="4" t="s">
        <v>905</v>
      </c>
      <c r="E404" s="8">
        <v>90.0</v>
      </c>
      <c r="F404" s="4" t="str">
        <f t="shared" si="1"/>
        <v>500 &amp; Below</v>
      </c>
    </row>
    <row r="405" ht="15.75" customHeight="1">
      <c r="A405" s="4" t="s">
        <v>8</v>
      </c>
      <c r="B405" s="7">
        <v>45540.0</v>
      </c>
      <c r="C405" s="4" t="s">
        <v>95</v>
      </c>
      <c r="D405" s="4" t="s">
        <v>849</v>
      </c>
      <c r="E405" s="8">
        <v>110.0</v>
      </c>
      <c r="F405" s="4" t="str">
        <f t="shared" si="1"/>
        <v>500 &amp; Below</v>
      </c>
    </row>
    <row r="406" ht="15.75" customHeight="1">
      <c r="A406" s="4" t="s">
        <v>8</v>
      </c>
      <c r="B406" s="7">
        <v>45540.0</v>
      </c>
      <c r="C406" s="4" t="s">
        <v>95</v>
      </c>
      <c r="D406" s="4" t="s">
        <v>194</v>
      </c>
      <c r="E406" s="8">
        <v>20.0</v>
      </c>
      <c r="F406" s="4" t="str">
        <f t="shared" si="1"/>
        <v>500 &amp; Below</v>
      </c>
    </row>
    <row r="407" ht="15.75" customHeight="1">
      <c r="A407" s="4" t="s">
        <v>8</v>
      </c>
      <c r="B407" s="7">
        <v>45540.0</v>
      </c>
      <c r="C407" s="4" t="s">
        <v>95</v>
      </c>
      <c r="D407" s="4" t="s">
        <v>18</v>
      </c>
      <c r="E407" s="8">
        <v>283.46</v>
      </c>
      <c r="F407" s="4" t="str">
        <f t="shared" si="1"/>
        <v>500 &amp; Below</v>
      </c>
    </row>
    <row r="408" ht="15.75" customHeight="1">
      <c r="A408" s="4" t="s">
        <v>8</v>
      </c>
      <c r="B408" s="7">
        <v>45540.0</v>
      </c>
      <c r="C408" s="4" t="s">
        <v>95</v>
      </c>
      <c r="D408" s="4" t="s">
        <v>75</v>
      </c>
      <c r="E408" s="8">
        <v>10.0</v>
      </c>
      <c r="F408" s="4" t="str">
        <f t="shared" si="1"/>
        <v>500 &amp; Below</v>
      </c>
    </row>
    <row r="409" ht="15.75" customHeight="1">
      <c r="A409" s="4" t="s">
        <v>8</v>
      </c>
      <c r="B409" s="7">
        <v>45540.0</v>
      </c>
      <c r="C409" s="4" t="s">
        <v>95</v>
      </c>
      <c r="D409" s="4" t="s">
        <v>68</v>
      </c>
      <c r="E409" s="8">
        <v>20.0</v>
      </c>
      <c r="F409" s="4" t="str">
        <f t="shared" si="1"/>
        <v>500 &amp; Below</v>
      </c>
    </row>
    <row r="410" ht="15.75" customHeight="1">
      <c r="A410" s="4" t="s">
        <v>8</v>
      </c>
      <c r="B410" s="7">
        <v>45540.0</v>
      </c>
      <c r="C410" s="4" t="s">
        <v>95</v>
      </c>
      <c r="D410" s="4" t="s">
        <v>928</v>
      </c>
      <c r="E410" s="8">
        <v>110.0</v>
      </c>
      <c r="F410" s="4" t="str">
        <f t="shared" si="1"/>
        <v>500 &amp; Below</v>
      </c>
    </row>
    <row r="411" ht="15.75" customHeight="1">
      <c r="A411" s="4" t="s">
        <v>8</v>
      </c>
      <c r="B411" s="7">
        <v>45540.0</v>
      </c>
      <c r="C411" s="4" t="s">
        <v>95</v>
      </c>
      <c r="D411" s="4" t="s">
        <v>933</v>
      </c>
      <c r="E411" s="8">
        <v>30.0</v>
      </c>
      <c r="F411" s="4" t="str">
        <f t="shared" si="1"/>
        <v>500 &amp; Below</v>
      </c>
    </row>
    <row r="412" ht="15.75" customHeight="1">
      <c r="A412" s="4" t="s">
        <v>8</v>
      </c>
      <c r="B412" s="7">
        <v>45540.0</v>
      </c>
      <c r="C412" s="4" t="s">
        <v>95</v>
      </c>
      <c r="D412" s="4" t="s">
        <v>357</v>
      </c>
      <c r="E412" s="8">
        <v>220.0</v>
      </c>
      <c r="F412" s="4" t="str">
        <f t="shared" si="1"/>
        <v>500 &amp; Below</v>
      </c>
    </row>
    <row r="413" ht="15.75" customHeight="1">
      <c r="A413" s="4" t="s">
        <v>8</v>
      </c>
      <c r="B413" s="7">
        <v>45541.0</v>
      </c>
      <c r="C413" s="4" t="s">
        <v>95</v>
      </c>
      <c r="D413" s="4" t="s">
        <v>119</v>
      </c>
      <c r="E413" s="8">
        <v>120.0</v>
      </c>
      <c r="F413" s="4" t="str">
        <f t="shared" si="1"/>
        <v>500 &amp; Below</v>
      </c>
    </row>
    <row r="414" ht="15.75" customHeight="1">
      <c r="A414" s="4" t="s">
        <v>8</v>
      </c>
      <c r="B414" s="7">
        <v>45541.0</v>
      </c>
      <c r="C414" s="4" t="s">
        <v>95</v>
      </c>
      <c r="D414" s="4" t="s">
        <v>79</v>
      </c>
      <c r="E414" s="8">
        <v>40.0</v>
      </c>
      <c r="F414" s="4" t="str">
        <f t="shared" si="1"/>
        <v>500 &amp; Below</v>
      </c>
    </row>
    <row r="415" ht="15.75" customHeight="1">
      <c r="A415" s="4" t="s">
        <v>8</v>
      </c>
      <c r="B415" s="7">
        <v>45541.0</v>
      </c>
      <c r="C415" s="4" t="s">
        <v>95</v>
      </c>
      <c r="D415" s="4" t="s">
        <v>948</v>
      </c>
      <c r="E415" s="8">
        <v>1.0</v>
      </c>
      <c r="F415" s="4" t="str">
        <f t="shared" si="1"/>
        <v>500 &amp; Below</v>
      </c>
    </row>
    <row r="416" ht="15.75" customHeight="1">
      <c r="A416" s="4" t="s">
        <v>8</v>
      </c>
      <c r="B416" s="7">
        <v>45541.0</v>
      </c>
      <c r="C416" s="4" t="s">
        <v>95</v>
      </c>
      <c r="D416" s="4" t="s">
        <v>75</v>
      </c>
      <c r="E416" s="8">
        <v>100.0</v>
      </c>
      <c r="F416" s="4" t="str">
        <f t="shared" si="1"/>
        <v>500 &amp; Below</v>
      </c>
    </row>
    <row r="417" ht="15.75" customHeight="1">
      <c r="A417" s="4" t="s">
        <v>8</v>
      </c>
      <c r="B417" s="7">
        <v>45541.0</v>
      </c>
      <c r="C417" s="4" t="s">
        <v>95</v>
      </c>
      <c r="D417" s="4" t="s">
        <v>956</v>
      </c>
      <c r="E417" s="8">
        <v>26.0</v>
      </c>
      <c r="F417" s="4" t="str">
        <f t="shared" si="1"/>
        <v>500 &amp; Below</v>
      </c>
    </row>
    <row r="418" ht="15.75" customHeight="1">
      <c r="A418" s="4" t="s">
        <v>8</v>
      </c>
      <c r="B418" s="7">
        <v>45541.0</v>
      </c>
      <c r="C418" s="4" t="s">
        <v>95</v>
      </c>
      <c r="D418" s="4" t="s">
        <v>117</v>
      </c>
      <c r="E418" s="8">
        <v>20.0</v>
      </c>
      <c r="F418" s="4" t="str">
        <f t="shared" si="1"/>
        <v>500 &amp; Below</v>
      </c>
    </row>
    <row r="419" ht="15.75" customHeight="1">
      <c r="A419" s="4" t="s">
        <v>8</v>
      </c>
      <c r="B419" s="7">
        <v>45542.0</v>
      </c>
      <c r="C419" s="4" t="s">
        <v>95</v>
      </c>
      <c r="D419" s="4" t="s">
        <v>277</v>
      </c>
      <c r="E419" s="8">
        <v>25.0</v>
      </c>
      <c r="F419" s="4" t="str">
        <f t="shared" si="1"/>
        <v>500 &amp; Below</v>
      </c>
    </row>
    <row r="420" ht="15.75" customHeight="1">
      <c r="A420" s="4" t="s">
        <v>8</v>
      </c>
      <c r="B420" s="7">
        <v>45542.0</v>
      </c>
      <c r="C420" s="4" t="s">
        <v>95</v>
      </c>
      <c r="D420" s="4" t="s">
        <v>108</v>
      </c>
      <c r="E420" s="8">
        <v>20.0</v>
      </c>
      <c r="F420" s="4" t="str">
        <f t="shared" si="1"/>
        <v>500 &amp; Below</v>
      </c>
    </row>
    <row r="421" ht="15.75" customHeight="1">
      <c r="A421" s="4" t="s">
        <v>8</v>
      </c>
      <c r="B421" s="7">
        <v>45542.0</v>
      </c>
      <c r="C421" s="4" t="s">
        <v>95</v>
      </c>
      <c r="D421" s="4" t="s">
        <v>970</v>
      </c>
      <c r="E421" s="8">
        <v>30.0</v>
      </c>
      <c r="F421" s="4" t="str">
        <f t="shared" si="1"/>
        <v>500 &amp; Below</v>
      </c>
    </row>
    <row r="422" ht="15.75" customHeight="1">
      <c r="A422" s="4" t="s">
        <v>8</v>
      </c>
      <c r="B422" s="7">
        <v>45542.0</v>
      </c>
      <c r="C422" s="4" t="s">
        <v>95</v>
      </c>
      <c r="D422" s="4" t="s">
        <v>108</v>
      </c>
      <c r="E422" s="8">
        <v>50.0</v>
      </c>
      <c r="F422" s="4" t="str">
        <f t="shared" si="1"/>
        <v>500 &amp; Below</v>
      </c>
    </row>
    <row r="423" ht="15.75" customHeight="1">
      <c r="A423" s="4" t="s">
        <v>8</v>
      </c>
      <c r="B423" s="7">
        <v>45542.0</v>
      </c>
      <c r="C423" s="4" t="s">
        <v>95</v>
      </c>
      <c r="D423" s="4" t="s">
        <v>978</v>
      </c>
      <c r="E423" s="8">
        <v>600.0</v>
      </c>
      <c r="F423" s="4" t="str">
        <f t="shared" si="1"/>
        <v>Above 500</v>
      </c>
    </row>
    <row r="424" ht="15.75" customHeight="1">
      <c r="A424" s="4" t="s">
        <v>8</v>
      </c>
      <c r="B424" s="7">
        <v>45544.0</v>
      </c>
      <c r="C424" s="4" t="s">
        <v>95</v>
      </c>
      <c r="D424" s="4" t="s">
        <v>52</v>
      </c>
      <c r="E424" s="8">
        <v>540.0</v>
      </c>
      <c r="F424" s="4" t="str">
        <f t="shared" si="1"/>
        <v>Above 500</v>
      </c>
    </row>
    <row r="425" ht="15.75" customHeight="1">
      <c r="A425" s="4" t="s">
        <v>8</v>
      </c>
      <c r="B425" s="7">
        <v>45545.0</v>
      </c>
      <c r="C425" s="4" t="s">
        <v>95</v>
      </c>
      <c r="D425" s="4" t="s">
        <v>988</v>
      </c>
      <c r="E425" s="8">
        <v>101.0</v>
      </c>
      <c r="F425" s="4" t="str">
        <f t="shared" si="1"/>
        <v>500 &amp; Below</v>
      </c>
    </row>
    <row r="426" ht="15.75" customHeight="1">
      <c r="A426" s="4" t="s">
        <v>8</v>
      </c>
      <c r="B426" s="7">
        <v>45545.0</v>
      </c>
      <c r="C426" s="4" t="s">
        <v>95</v>
      </c>
      <c r="D426" s="4" t="s">
        <v>989</v>
      </c>
      <c r="E426" s="8">
        <v>1900.0</v>
      </c>
      <c r="F426" s="4" t="str">
        <f t="shared" si="1"/>
        <v>Above 500</v>
      </c>
    </row>
    <row r="427" ht="15.75" customHeight="1">
      <c r="A427" s="4" t="s">
        <v>8</v>
      </c>
      <c r="B427" s="7">
        <v>45545.0</v>
      </c>
      <c r="C427" s="4" t="s">
        <v>95</v>
      </c>
      <c r="D427" s="4" t="s">
        <v>992</v>
      </c>
      <c r="E427" s="8">
        <v>25.0</v>
      </c>
      <c r="F427" s="4" t="str">
        <f t="shared" si="1"/>
        <v>500 &amp; Below</v>
      </c>
    </row>
    <row r="428" ht="15.75" customHeight="1">
      <c r="A428" s="4" t="s">
        <v>8</v>
      </c>
      <c r="B428" s="7">
        <v>45545.0</v>
      </c>
      <c r="C428" s="4" t="s">
        <v>95</v>
      </c>
      <c r="D428" s="4" t="s">
        <v>117</v>
      </c>
      <c r="E428" s="8">
        <v>60.0</v>
      </c>
      <c r="F428" s="4" t="str">
        <f t="shared" si="1"/>
        <v>500 &amp; Below</v>
      </c>
    </row>
    <row r="429" ht="15.75" customHeight="1">
      <c r="A429" s="4" t="s">
        <v>8</v>
      </c>
      <c r="B429" s="7">
        <v>45546.0</v>
      </c>
      <c r="C429" s="4" t="s">
        <v>95</v>
      </c>
      <c r="D429" s="4" t="s">
        <v>24</v>
      </c>
      <c r="E429" s="8">
        <v>20.0</v>
      </c>
      <c r="F429" s="4" t="str">
        <f t="shared" si="1"/>
        <v>500 &amp; Below</v>
      </c>
    </row>
    <row r="430" ht="15.75" customHeight="1">
      <c r="A430" s="4" t="s">
        <v>8</v>
      </c>
      <c r="B430" s="7">
        <v>45546.0</v>
      </c>
      <c r="C430" s="4" t="s">
        <v>95</v>
      </c>
      <c r="D430" s="4" t="s">
        <v>1012</v>
      </c>
      <c r="E430" s="8">
        <v>500.0</v>
      </c>
      <c r="F430" s="4" t="str">
        <f t="shared" si="1"/>
        <v>500 &amp; Below</v>
      </c>
    </row>
    <row r="431" ht="15.75" customHeight="1">
      <c r="A431" s="4" t="s">
        <v>8</v>
      </c>
      <c r="B431" s="7">
        <v>45546.0</v>
      </c>
      <c r="C431" s="4" t="s">
        <v>95</v>
      </c>
      <c r="D431" s="4" t="s">
        <v>42</v>
      </c>
      <c r="E431" s="8">
        <v>200.0</v>
      </c>
      <c r="F431" s="4" t="str">
        <f t="shared" si="1"/>
        <v>500 &amp; Below</v>
      </c>
    </row>
    <row r="432" ht="15.75" customHeight="1">
      <c r="A432" s="4" t="s">
        <v>8</v>
      </c>
      <c r="B432" s="7">
        <v>45547.0</v>
      </c>
      <c r="C432" s="4" t="s">
        <v>95</v>
      </c>
      <c r="D432" s="4" t="s">
        <v>57</v>
      </c>
      <c r="E432" s="8">
        <v>10.0</v>
      </c>
      <c r="F432" s="4" t="str">
        <f t="shared" si="1"/>
        <v>500 &amp; Below</v>
      </c>
    </row>
    <row r="433" ht="15.75" customHeight="1">
      <c r="A433" s="4" t="s">
        <v>8</v>
      </c>
      <c r="B433" s="7">
        <v>45548.0</v>
      </c>
      <c r="C433" s="4" t="s">
        <v>95</v>
      </c>
      <c r="D433" s="4" t="s">
        <v>36</v>
      </c>
      <c r="E433" s="8">
        <v>2051.0</v>
      </c>
      <c r="F433" s="4" t="str">
        <f t="shared" si="1"/>
        <v>Above 500</v>
      </c>
    </row>
    <row r="434" ht="15.75" customHeight="1">
      <c r="A434" s="4" t="s">
        <v>8</v>
      </c>
      <c r="B434" s="7">
        <v>45548.0</v>
      </c>
      <c r="C434" s="4" t="s">
        <v>95</v>
      </c>
      <c r="D434" s="4" t="s">
        <v>36</v>
      </c>
      <c r="E434" s="8">
        <v>1908.0</v>
      </c>
      <c r="F434" s="4" t="str">
        <f t="shared" si="1"/>
        <v>Above 500</v>
      </c>
    </row>
    <row r="435" ht="15.75" customHeight="1">
      <c r="A435" s="4" t="s">
        <v>8</v>
      </c>
      <c r="B435" s="7">
        <v>45548.0</v>
      </c>
      <c r="C435" s="4" t="s">
        <v>95</v>
      </c>
      <c r="D435" s="4" t="s">
        <v>194</v>
      </c>
      <c r="E435" s="8">
        <v>25.0</v>
      </c>
      <c r="F435" s="4" t="str">
        <f t="shared" si="1"/>
        <v>500 &amp; Below</v>
      </c>
    </row>
    <row r="436" ht="15.75" customHeight="1">
      <c r="A436" s="4" t="s">
        <v>8</v>
      </c>
      <c r="B436" s="7">
        <v>45548.0</v>
      </c>
      <c r="C436" s="4" t="s">
        <v>95</v>
      </c>
      <c r="D436" s="4" t="s">
        <v>18</v>
      </c>
      <c r="E436" s="8">
        <v>49.0</v>
      </c>
      <c r="F436" s="4" t="str">
        <f t="shared" si="1"/>
        <v>500 &amp; Below</v>
      </c>
    </row>
    <row r="437" ht="15.75" customHeight="1">
      <c r="A437" s="4" t="s">
        <v>8</v>
      </c>
      <c r="B437" s="7">
        <v>45548.0</v>
      </c>
      <c r="C437" s="4" t="s">
        <v>95</v>
      </c>
      <c r="D437" s="4" t="s">
        <v>73</v>
      </c>
      <c r="E437" s="8">
        <v>1000.0</v>
      </c>
      <c r="F437" s="4" t="str">
        <f t="shared" si="1"/>
        <v>Above 500</v>
      </c>
    </row>
    <row r="438" ht="15.75" customHeight="1">
      <c r="A438" s="4" t="s">
        <v>8</v>
      </c>
      <c r="B438" s="7">
        <v>45548.0</v>
      </c>
      <c r="C438" s="4" t="s">
        <v>95</v>
      </c>
      <c r="D438" s="4" t="s">
        <v>68</v>
      </c>
      <c r="E438" s="8">
        <v>20.0</v>
      </c>
      <c r="F438" s="4" t="str">
        <f t="shared" si="1"/>
        <v>500 &amp; Below</v>
      </c>
    </row>
    <row r="439" ht="15.75" customHeight="1">
      <c r="A439" s="4" t="s">
        <v>8</v>
      </c>
      <c r="B439" s="7">
        <v>45548.0</v>
      </c>
      <c r="C439" s="4" t="s">
        <v>95</v>
      </c>
      <c r="D439" s="4" t="s">
        <v>108</v>
      </c>
      <c r="E439" s="8">
        <v>185.0</v>
      </c>
      <c r="F439" s="4" t="str">
        <f t="shared" si="1"/>
        <v>500 &amp; Below</v>
      </c>
    </row>
    <row r="440" ht="15.75" customHeight="1">
      <c r="A440" s="4" t="s">
        <v>8</v>
      </c>
      <c r="B440" s="7">
        <v>45548.0</v>
      </c>
      <c r="C440" s="4" t="s">
        <v>95</v>
      </c>
      <c r="D440" s="4" t="s">
        <v>18</v>
      </c>
      <c r="E440" s="8">
        <v>9.0</v>
      </c>
      <c r="F440" s="4" t="str">
        <f t="shared" si="1"/>
        <v>500 &amp; Below</v>
      </c>
    </row>
    <row r="441" ht="15.75" customHeight="1">
      <c r="A441" s="4" t="s">
        <v>8</v>
      </c>
      <c r="B441" s="7">
        <v>45548.0</v>
      </c>
      <c r="C441" s="4" t="s">
        <v>95</v>
      </c>
      <c r="D441" s="4" t="s">
        <v>57</v>
      </c>
      <c r="E441" s="8">
        <v>20.0</v>
      </c>
      <c r="F441" s="4" t="str">
        <f t="shared" si="1"/>
        <v>500 &amp; Below</v>
      </c>
    </row>
    <row r="442" ht="15.75" customHeight="1">
      <c r="A442" s="4" t="s">
        <v>8</v>
      </c>
      <c r="B442" s="7">
        <v>45549.0</v>
      </c>
      <c r="C442" s="4" t="s">
        <v>95</v>
      </c>
      <c r="D442" s="4" t="s">
        <v>40</v>
      </c>
      <c r="E442" s="8">
        <v>50.0</v>
      </c>
      <c r="F442" s="4" t="str">
        <f t="shared" si="1"/>
        <v>500 &amp; Below</v>
      </c>
    </row>
    <row r="443" ht="15.75" customHeight="1">
      <c r="A443" s="4" t="s">
        <v>8</v>
      </c>
      <c r="B443" s="7">
        <v>45549.0</v>
      </c>
      <c r="C443" s="4" t="s">
        <v>95</v>
      </c>
      <c r="D443" s="4" t="s">
        <v>36</v>
      </c>
      <c r="E443" s="8">
        <v>4073.0</v>
      </c>
      <c r="F443" s="4" t="str">
        <f t="shared" si="1"/>
        <v>Above 500</v>
      </c>
    </row>
    <row r="444" ht="15.75" customHeight="1">
      <c r="A444" s="4" t="s">
        <v>8</v>
      </c>
      <c r="B444" s="7">
        <v>45549.0</v>
      </c>
      <c r="C444" s="4" t="s">
        <v>95</v>
      </c>
      <c r="D444" s="4" t="s">
        <v>106</v>
      </c>
      <c r="E444" s="8">
        <v>40.0</v>
      </c>
      <c r="F444" s="4" t="str">
        <f t="shared" si="1"/>
        <v>500 &amp; Below</v>
      </c>
    </row>
    <row r="445" ht="15.75" customHeight="1">
      <c r="A445" s="4" t="s">
        <v>8</v>
      </c>
      <c r="B445" s="7">
        <v>45550.0</v>
      </c>
      <c r="C445" s="4" t="s">
        <v>95</v>
      </c>
      <c r="D445" s="4" t="s">
        <v>18</v>
      </c>
      <c r="E445" s="8">
        <v>410.31</v>
      </c>
      <c r="F445" s="4" t="str">
        <f t="shared" si="1"/>
        <v>500 &amp; Below</v>
      </c>
    </row>
    <row r="446" ht="15.75" customHeight="1">
      <c r="A446" s="4" t="s">
        <v>8</v>
      </c>
      <c r="B446" s="7">
        <v>45551.0</v>
      </c>
      <c r="C446" s="4" t="s">
        <v>95</v>
      </c>
      <c r="D446" s="4" t="s">
        <v>956</v>
      </c>
      <c r="E446" s="8">
        <v>26.0</v>
      </c>
      <c r="F446" s="4" t="str">
        <f t="shared" si="1"/>
        <v>500 &amp; Below</v>
      </c>
    </row>
    <row r="447" ht="15.75" customHeight="1">
      <c r="A447" s="4" t="s">
        <v>8</v>
      </c>
      <c r="B447" s="7">
        <v>45551.0</v>
      </c>
      <c r="C447" s="4" t="s">
        <v>95</v>
      </c>
      <c r="D447" s="4" t="s">
        <v>1068</v>
      </c>
      <c r="E447" s="8">
        <v>90.0</v>
      </c>
      <c r="F447" s="4" t="str">
        <f t="shared" si="1"/>
        <v>500 &amp; Below</v>
      </c>
    </row>
    <row r="448" ht="15.75" customHeight="1">
      <c r="A448" s="4" t="s">
        <v>8</v>
      </c>
      <c r="B448" s="7">
        <v>45551.0</v>
      </c>
      <c r="C448" s="4" t="s">
        <v>95</v>
      </c>
      <c r="D448" s="4" t="s">
        <v>587</v>
      </c>
      <c r="E448" s="8">
        <v>60.0</v>
      </c>
      <c r="F448" s="4" t="str">
        <f t="shared" si="1"/>
        <v>500 &amp; Below</v>
      </c>
    </row>
    <row r="449" ht="15.75" customHeight="1">
      <c r="A449" s="4" t="s">
        <v>8</v>
      </c>
      <c r="B449" s="7">
        <v>45551.0</v>
      </c>
      <c r="C449" s="4" t="s">
        <v>95</v>
      </c>
      <c r="D449" s="4" t="s">
        <v>286</v>
      </c>
      <c r="E449" s="8">
        <v>100.0</v>
      </c>
      <c r="F449" s="4" t="str">
        <f t="shared" si="1"/>
        <v>500 &amp; Below</v>
      </c>
    </row>
    <row r="450" ht="15.75" customHeight="1">
      <c r="A450" s="4" t="s">
        <v>8</v>
      </c>
      <c r="B450" s="7">
        <v>45551.0</v>
      </c>
      <c r="C450" s="4" t="s">
        <v>95</v>
      </c>
      <c r="D450" s="4" t="s">
        <v>62</v>
      </c>
      <c r="E450" s="8">
        <v>80.0</v>
      </c>
      <c r="F450" s="4" t="str">
        <f t="shared" si="1"/>
        <v>500 &amp; Below</v>
      </c>
    </row>
    <row r="451" ht="15.75" customHeight="1">
      <c r="A451" s="4" t="s">
        <v>8</v>
      </c>
      <c r="B451" s="7">
        <v>45551.0</v>
      </c>
      <c r="C451" s="4" t="s">
        <v>95</v>
      </c>
      <c r="D451" s="4" t="s">
        <v>605</v>
      </c>
      <c r="E451" s="8">
        <v>30.0</v>
      </c>
      <c r="F451" s="4" t="str">
        <f t="shared" si="1"/>
        <v>500 &amp; Below</v>
      </c>
    </row>
    <row r="452" ht="15.75" customHeight="1">
      <c r="A452" s="4" t="s">
        <v>8</v>
      </c>
      <c r="B452" s="7">
        <v>45551.0</v>
      </c>
      <c r="C452" s="4" t="s">
        <v>95</v>
      </c>
      <c r="D452" s="4" t="s">
        <v>119</v>
      </c>
      <c r="E452" s="8">
        <v>135.0</v>
      </c>
      <c r="F452" s="4" t="str">
        <f t="shared" si="1"/>
        <v>500 &amp; Below</v>
      </c>
    </row>
    <row r="453" ht="15.75" customHeight="1">
      <c r="A453" s="4" t="s">
        <v>8</v>
      </c>
      <c r="B453" s="7">
        <v>45552.0</v>
      </c>
      <c r="C453" s="4" t="s">
        <v>95</v>
      </c>
      <c r="D453" s="4" t="s">
        <v>1094</v>
      </c>
      <c r="E453" s="8">
        <v>70.0</v>
      </c>
      <c r="F453" s="4" t="str">
        <f t="shared" si="1"/>
        <v>500 &amp; Below</v>
      </c>
    </row>
    <row r="454" ht="15.75" customHeight="1">
      <c r="A454" s="4" t="s">
        <v>8</v>
      </c>
      <c r="B454" s="7">
        <v>45552.0</v>
      </c>
      <c r="C454" s="4" t="s">
        <v>95</v>
      </c>
      <c r="D454" s="4" t="s">
        <v>1068</v>
      </c>
      <c r="E454" s="8">
        <v>90.0</v>
      </c>
      <c r="F454" s="4" t="str">
        <f t="shared" si="1"/>
        <v>500 &amp; Below</v>
      </c>
    </row>
    <row r="455" ht="15.75" customHeight="1">
      <c r="A455" s="4" t="s">
        <v>8</v>
      </c>
      <c r="B455" s="7">
        <v>45552.0</v>
      </c>
      <c r="C455" s="4" t="s">
        <v>95</v>
      </c>
      <c r="D455" s="4" t="s">
        <v>62</v>
      </c>
      <c r="E455" s="8">
        <v>100.0</v>
      </c>
      <c r="F455" s="4" t="str">
        <f t="shared" si="1"/>
        <v>500 &amp; Below</v>
      </c>
    </row>
    <row r="456" ht="15.75" customHeight="1">
      <c r="A456" s="4" t="s">
        <v>8</v>
      </c>
      <c r="B456" s="7">
        <v>45553.0</v>
      </c>
      <c r="C456" s="4" t="s">
        <v>95</v>
      </c>
      <c r="D456" s="4" t="s">
        <v>282</v>
      </c>
      <c r="E456" s="8">
        <v>25.0</v>
      </c>
      <c r="F456" s="4" t="str">
        <f t="shared" si="1"/>
        <v>500 &amp; Below</v>
      </c>
    </row>
    <row r="457" ht="15.75" customHeight="1">
      <c r="A457" s="4" t="s">
        <v>8</v>
      </c>
      <c r="B457" s="7">
        <v>45553.0</v>
      </c>
      <c r="C457" s="4" t="s">
        <v>95</v>
      </c>
      <c r="D457" s="4" t="s">
        <v>194</v>
      </c>
      <c r="E457" s="8">
        <v>15.0</v>
      </c>
      <c r="F457" s="4" t="str">
        <f t="shared" si="1"/>
        <v>500 &amp; Below</v>
      </c>
    </row>
    <row r="458" ht="15.75" customHeight="1">
      <c r="A458" s="4" t="s">
        <v>8</v>
      </c>
      <c r="B458" s="7">
        <v>45553.0</v>
      </c>
      <c r="C458" s="4" t="s">
        <v>95</v>
      </c>
      <c r="D458" s="4" t="s">
        <v>808</v>
      </c>
      <c r="E458" s="8">
        <v>5.0</v>
      </c>
      <c r="F458" s="4" t="str">
        <f t="shared" si="1"/>
        <v>500 &amp; Below</v>
      </c>
    </row>
    <row r="459" ht="15.75" customHeight="1">
      <c r="A459" s="4" t="s">
        <v>8</v>
      </c>
      <c r="B459" s="7">
        <v>45553.0</v>
      </c>
      <c r="C459" s="4" t="s">
        <v>95</v>
      </c>
      <c r="D459" s="4" t="s">
        <v>68</v>
      </c>
      <c r="E459" s="8">
        <v>40.0</v>
      </c>
      <c r="F459" s="4" t="str">
        <f t="shared" si="1"/>
        <v>500 &amp; Below</v>
      </c>
    </row>
    <row r="460" ht="15.75" customHeight="1">
      <c r="A460" s="4" t="s">
        <v>8</v>
      </c>
      <c r="B460" s="7">
        <v>45553.0</v>
      </c>
      <c r="C460" s="4" t="s">
        <v>95</v>
      </c>
      <c r="D460" s="4" t="s">
        <v>41</v>
      </c>
      <c r="E460" s="8">
        <v>139.0</v>
      </c>
      <c r="F460" s="4" t="str">
        <f t="shared" si="1"/>
        <v>500 &amp; Below</v>
      </c>
    </row>
    <row r="461" ht="15.75" customHeight="1">
      <c r="A461" s="4" t="s">
        <v>8</v>
      </c>
      <c r="B461" s="7">
        <v>45554.0</v>
      </c>
      <c r="C461" s="4" t="s">
        <v>95</v>
      </c>
      <c r="D461" s="4" t="s">
        <v>24</v>
      </c>
      <c r="E461" s="8">
        <v>10.0</v>
      </c>
      <c r="F461" s="4" t="str">
        <f t="shared" si="1"/>
        <v>500 &amp; Below</v>
      </c>
    </row>
    <row r="462" ht="15.75" customHeight="1">
      <c r="A462" s="4" t="s">
        <v>8</v>
      </c>
      <c r="B462" s="7">
        <v>45555.0</v>
      </c>
      <c r="C462" s="4" t="s">
        <v>95</v>
      </c>
      <c r="D462" s="4" t="s">
        <v>62</v>
      </c>
      <c r="E462" s="8">
        <v>100.0</v>
      </c>
      <c r="F462" s="4" t="str">
        <f t="shared" si="1"/>
        <v>500 &amp; Below</v>
      </c>
    </row>
    <row r="463" ht="15.75" customHeight="1">
      <c r="A463" s="4" t="s">
        <v>8</v>
      </c>
      <c r="B463" s="7">
        <v>45555.0</v>
      </c>
      <c r="C463" s="4" t="s">
        <v>95</v>
      </c>
      <c r="D463" s="4" t="s">
        <v>1128</v>
      </c>
      <c r="E463" s="8">
        <v>80.0</v>
      </c>
      <c r="F463" s="4" t="str">
        <f t="shared" si="1"/>
        <v>500 &amp; Below</v>
      </c>
    </row>
    <row r="464" ht="15.75" customHeight="1">
      <c r="A464" s="4" t="s">
        <v>8</v>
      </c>
      <c r="B464" s="7">
        <v>45556.0</v>
      </c>
      <c r="C464" s="4" t="s">
        <v>95</v>
      </c>
      <c r="D464" s="4" t="s">
        <v>28</v>
      </c>
      <c r="E464" s="8">
        <v>500.0</v>
      </c>
      <c r="F464" s="4" t="str">
        <f t="shared" si="1"/>
        <v>500 &amp; Below</v>
      </c>
    </row>
    <row r="465" ht="15.75" customHeight="1">
      <c r="A465" s="4" t="s">
        <v>8</v>
      </c>
      <c r="B465" s="7">
        <v>45556.0</v>
      </c>
      <c r="C465" s="4" t="s">
        <v>95</v>
      </c>
      <c r="D465" s="4" t="s">
        <v>1135</v>
      </c>
      <c r="E465" s="8">
        <v>55.0</v>
      </c>
      <c r="F465" s="4" t="str">
        <f t="shared" si="1"/>
        <v>500 &amp; Below</v>
      </c>
    </row>
    <row r="466" ht="15.75" customHeight="1">
      <c r="A466" s="4" t="s">
        <v>8</v>
      </c>
      <c r="B466" s="7">
        <v>45556.0</v>
      </c>
      <c r="C466" s="4" t="s">
        <v>95</v>
      </c>
      <c r="D466" s="4" t="s">
        <v>1140</v>
      </c>
      <c r="E466" s="8">
        <v>390.0</v>
      </c>
      <c r="F466" s="4" t="str">
        <f t="shared" si="1"/>
        <v>500 &amp; Below</v>
      </c>
    </row>
    <row r="467" ht="15.75" customHeight="1">
      <c r="A467" s="4" t="s">
        <v>8</v>
      </c>
      <c r="B467" s="7">
        <v>45557.0</v>
      </c>
      <c r="C467" s="4" t="s">
        <v>95</v>
      </c>
      <c r="D467" s="4" t="s">
        <v>1146</v>
      </c>
      <c r="E467" s="8">
        <v>15.0</v>
      </c>
      <c r="F467" s="4" t="str">
        <f t="shared" si="1"/>
        <v>500 &amp; Below</v>
      </c>
    </row>
    <row r="468" ht="15.75" customHeight="1">
      <c r="A468" s="4" t="s">
        <v>8</v>
      </c>
      <c r="B468" s="7">
        <v>45557.0</v>
      </c>
      <c r="C468" s="4" t="s">
        <v>95</v>
      </c>
      <c r="D468" s="4" t="s">
        <v>39</v>
      </c>
      <c r="E468" s="8">
        <v>20.0</v>
      </c>
      <c r="F468" s="4" t="str">
        <f t="shared" si="1"/>
        <v>500 &amp; Below</v>
      </c>
    </row>
    <row r="469" ht="15.75" customHeight="1">
      <c r="A469" s="4" t="s">
        <v>8</v>
      </c>
      <c r="B469" s="7">
        <v>45557.0</v>
      </c>
      <c r="C469" s="4" t="s">
        <v>95</v>
      </c>
      <c r="D469" s="4" t="s">
        <v>97</v>
      </c>
      <c r="E469" s="8">
        <v>310.0</v>
      </c>
      <c r="F469" s="4" t="str">
        <f t="shared" si="1"/>
        <v>500 &amp; Below</v>
      </c>
    </row>
    <row r="470" ht="15.75" customHeight="1">
      <c r="A470" s="4" t="s">
        <v>8</v>
      </c>
      <c r="B470" s="7">
        <v>45557.0</v>
      </c>
      <c r="C470" s="4" t="s">
        <v>95</v>
      </c>
      <c r="D470" s="4" t="s">
        <v>72</v>
      </c>
      <c r="E470" s="8">
        <v>100.0</v>
      </c>
      <c r="F470" s="4" t="str">
        <f t="shared" si="1"/>
        <v>500 &amp; Below</v>
      </c>
    </row>
    <row r="471" ht="15.75" customHeight="1">
      <c r="A471" s="4" t="s">
        <v>8</v>
      </c>
      <c r="B471" s="7">
        <v>45557.0</v>
      </c>
      <c r="C471" s="4" t="s">
        <v>95</v>
      </c>
      <c r="D471" s="4" t="s">
        <v>1159</v>
      </c>
      <c r="E471" s="8">
        <v>600.0</v>
      </c>
      <c r="F471" s="4" t="str">
        <f t="shared" si="1"/>
        <v>Above 500</v>
      </c>
    </row>
    <row r="472" ht="15.75" customHeight="1">
      <c r="A472" s="4" t="s">
        <v>8</v>
      </c>
      <c r="B472" s="7">
        <v>45557.0</v>
      </c>
      <c r="C472" s="4" t="s">
        <v>95</v>
      </c>
      <c r="D472" s="4" t="s">
        <v>1162</v>
      </c>
      <c r="E472" s="8">
        <v>892.0</v>
      </c>
      <c r="F472" s="4" t="str">
        <f t="shared" si="1"/>
        <v>Above 500</v>
      </c>
    </row>
    <row r="473" ht="15.75" customHeight="1">
      <c r="A473" s="4" t="s">
        <v>8</v>
      </c>
      <c r="B473" s="7">
        <v>45560.0</v>
      </c>
      <c r="C473" s="4" t="s">
        <v>95</v>
      </c>
      <c r="D473" s="4" t="s">
        <v>79</v>
      </c>
      <c r="E473" s="8">
        <v>14.0</v>
      </c>
      <c r="F473" s="4" t="str">
        <f t="shared" si="1"/>
        <v>500 &amp; Below</v>
      </c>
    </row>
    <row r="474" ht="15.75" customHeight="1">
      <c r="A474" s="4" t="s">
        <v>8</v>
      </c>
      <c r="B474" s="7">
        <v>45560.0</v>
      </c>
      <c r="C474" s="4" t="s">
        <v>95</v>
      </c>
      <c r="D474" s="4" t="s">
        <v>27</v>
      </c>
      <c r="E474" s="8">
        <v>7000.0</v>
      </c>
      <c r="F474" s="4" t="str">
        <f t="shared" si="1"/>
        <v>Above 500</v>
      </c>
    </row>
    <row r="475" ht="15.75" customHeight="1">
      <c r="A475" s="4" t="s">
        <v>8</v>
      </c>
      <c r="B475" s="7">
        <v>45560.0</v>
      </c>
      <c r="C475" s="4" t="s">
        <v>95</v>
      </c>
      <c r="D475" s="4" t="s">
        <v>27</v>
      </c>
      <c r="E475" s="8">
        <v>6600.0</v>
      </c>
      <c r="F475" s="4" t="str">
        <f t="shared" si="1"/>
        <v>Above 500</v>
      </c>
    </row>
    <row r="476" ht="15.75" customHeight="1">
      <c r="A476" s="4" t="s">
        <v>8</v>
      </c>
      <c r="B476" s="7">
        <v>45560.0</v>
      </c>
      <c r="C476" s="4" t="s">
        <v>95</v>
      </c>
      <c r="D476" s="4" t="s">
        <v>27</v>
      </c>
      <c r="E476" s="8">
        <v>19200.0</v>
      </c>
      <c r="F476" s="4" t="str">
        <f t="shared" si="1"/>
        <v>Above 500</v>
      </c>
    </row>
    <row r="477" ht="15.75" customHeight="1">
      <c r="A477" s="4" t="s">
        <v>8</v>
      </c>
      <c r="B477" s="7">
        <v>45560.0</v>
      </c>
      <c r="C477" s="4" t="s">
        <v>95</v>
      </c>
      <c r="D477" s="4" t="s">
        <v>121</v>
      </c>
      <c r="E477" s="8">
        <v>300.0</v>
      </c>
      <c r="F477" s="4" t="str">
        <f t="shared" si="1"/>
        <v>500 &amp; Below</v>
      </c>
    </row>
    <row r="478" ht="15.75" customHeight="1">
      <c r="A478" s="4" t="s">
        <v>8</v>
      </c>
      <c r="B478" s="7">
        <v>45560.0</v>
      </c>
      <c r="C478" s="4" t="s">
        <v>95</v>
      </c>
      <c r="D478" s="4" t="s">
        <v>37</v>
      </c>
      <c r="E478" s="8">
        <v>19.0</v>
      </c>
      <c r="F478" s="4" t="str">
        <f t="shared" si="1"/>
        <v>500 &amp; Below</v>
      </c>
    </row>
    <row r="479" ht="15.75" customHeight="1">
      <c r="A479" s="4" t="s">
        <v>8</v>
      </c>
      <c r="B479" s="7">
        <v>45561.0</v>
      </c>
      <c r="C479" s="4" t="s">
        <v>95</v>
      </c>
      <c r="D479" s="4" t="s">
        <v>1163</v>
      </c>
      <c r="E479" s="8">
        <v>700.0</v>
      </c>
      <c r="F479" s="4" t="str">
        <f t="shared" si="1"/>
        <v>Above 500</v>
      </c>
    </row>
    <row r="480" ht="15.75" customHeight="1">
      <c r="A480" s="4" t="s">
        <v>8</v>
      </c>
      <c r="B480" s="7">
        <v>45561.0</v>
      </c>
      <c r="C480" s="4" t="s">
        <v>95</v>
      </c>
      <c r="D480" s="4" t="s">
        <v>849</v>
      </c>
      <c r="E480" s="8">
        <v>1800.0</v>
      </c>
      <c r="F480" s="4" t="str">
        <f t="shared" si="1"/>
        <v>Above 500</v>
      </c>
    </row>
    <row r="481" ht="15.75" customHeight="1">
      <c r="A481" s="4" t="s">
        <v>8</v>
      </c>
      <c r="B481" s="7">
        <v>45561.0</v>
      </c>
      <c r="C481" s="4" t="s">
        <v>95</v>
      </c>
      <c r="D481" s="4" t="s">
        <v>18</v>
      </c>
      <c r="E481" s="8">
        <v>68.6</v>
      </c>
      <c r="F481" s="4" t="str">
        <f t="shared" si="1"/>
        <v>500 &amp; Below</v>
      </c>
    </row>
    <row r="482" ht="15.75" customHeight="1">
      <c r="A482" s="4" t="s">
        <v>8</v>
      </c>
      <c r="B482" s="7">
        <v>45562.0</v>
      </c>
      <c r="C482" s="4" t="s">
        <v>95</v>
      </c>
      <c r="D482" s="4" t="s">
        <v>1166</v>
      </c>
      <c r="E482" s="8">
        <v>200.0</v>
      </c>
      <c r="F482" s="4" t="str">
        <f t="shared" si="1"/>
        <v>500 &amp; Below</v>
      </c>
    </row>
    <row r="483" ht="15.75" customHeight="1">
      <c r="A483" s="4" t="s">
        <v>8</v>
      </c>
      <c r="B483" s="7">
        <v>45562.0</v>
      </c>
      <c r="C483" s="4" t="s">
        <v>95</v>
      </c>
      <c r="D483" s="4" t="s">
        <v>1168</v>
      </c>
      <c r="E483" s="8">
        <v>1000.0</v>
      </c>
      <c r="F483" s="4" t="str">
        <f t="shared" si="1"/>
        <v>Above 500</v>
      </c>
    </row>
    <row r="484" ht="15.75" customHeight="1">
      <c r="A484" s="4" t="s">
        <v>8</v>
      </c>
      <c r="B484" s="7">
        <v>45562.0</v>
      </c>
      <c r="C484" s="4" t="s">
        <v>95</v>
      </c>
      <c r="D484" s="4" t="s">
        <v>194</v>
      </c>
      <c r="E484" s="8">
        <v>30.0</v>
      </c>
      <c r="F484" s="4" t="str">
        <f t="shared" si="1"/>
        <v>500 &amp; Below</v>
      </c>
    </row>
    <row r="485" ht="15.75" customHeight="1">
      <c r="A485" s="4" t="s">
        <v>8</v>
      </c>
      <c r="B485" s="7">
        <v>45562.0</v>
      </c>
      <c r="C485" s="4" t="s">
        <v>95</v>
      </c>
      <c r="D485" s="4" t="s">
        <v>1174</v>
      </c>
      <c r="E485" s="8">
        <v>491.4</v>
      </c>
      <c r="F485" s="4" t="str">
        <f t="shared" si="1"/>
        <v>500 &amp; Below</v>
      </c>
    </row>
    <row r="486" ht="15.75" customHeight="1">
      <c r="A486" s="4" t="s">
        <v>8</v>
      </c>
      <c r="B486" s="7">
        <v>45562.0</v>
      </c>
      <c r="C486" s="4" t="s">
        <v>95</v>
      </c>
      <c r="D486" s="4" t="s">
        <v>1175</v>
      </c>
      <c r="E486" s="8">
        <v>280.0</v>
      </c>
      <c r="F486" s="4" t="str">
        <f t="shared" si="1"/>
        <v>500 &amp; Below</v>
      </c>
    </row>
    <row r="487" ht="15.75" customHeight="1">
      <c r="A487" s="4" t="s">
        <v>8</v>
      </c>
      <c r="B487" s="7">
        <v>45562.0</v>
      </c>
      <c r="C487" s="4" t="s">
        <v>95</v>
      </c>
      <c r="D487" s="4" t="s">
        <v>1176</v>
      </c>
      <c r="E487" s="8">
        <v>50.0</v>
      </c>
      <c r="F487" s="4" t="str">
        <f t="shared" si="1"/>
        <v>500 &amp; Below</v>
      </c>
    </row>
    <row r="488" ht="15.75" customHeight="1">
      <c r="A488" s="4" t="s">
        <v>8</v>
      </c>
      <c r="B488" s="7">
        <v>45562.0</v>
      </c>
      <c r="C488" s="4" t="s">
        <v>95</v>
      </c>
      <c r="D488" s="4" t="s">
        <v>1179</v>
      </c>
      <c r="E488" s="8">
        <v>160.0</v>
      </c>
      <c r="F488" s="4" t="str">
        <f t="shared" si="1"/>
        <v>500 &amp; Below</v>
      </c>
    </row>
    <row r="489" ht="15.75" customHeight="1">
      <c r="A489" s="4" t="s">
        <v>8</v>
      </c>
      <c r="B489" s="7">
        <v>45562.0</v>
      </c>
      <c r="C489" s="4" t="s">
        <v>95</v>
      </c>
      <c r="D489" s="4" t="s">
        <v>119</v>
      </c>
      <c r="E489" s="8">
        <v>80.0</v>
      </c>
      <c r="F489" s="4" t="str">
        <f t="shared" si="1"/>
        <v>500 &amp; Below</v>
      </c>
    </row>
    <row r="490" ht="15.75" customHeight="1">
      <c r="A490" s="4" t="s">
        <v>8</v>
      </c>
      <c r="B490" s="7">
        <v>45562.0</v>
      </c>
      <c r="C490" s="4" t="s">
        <v>95</v>
      </c>
      <c r="D490" s="4" t="s">
        <v>1186</v>
      </c>
      <c r="E490" s="8">
        <v>54.0</v>
      </c>
      <c r="F490" s="4" t="str">
        <f t="shared" si="1"/>
        <v>500 &amp; Below</v>
      </c>
    </row>
    <row r="491" ht="15.75" customHeight="1">
      <c r="A491" s="4" t="s">
        <v>8</v>
      </c>
      <c r="B491" s="7">
        <v>45562.0</v>
      </c>
      <c r="C491" s="4" t="s">
        <v>95</v>
      </c>
      <c r="D491" s="4" t="s">
        <v>1190</v>
      </c>
      <c r="E491" s="8">
        <v>40.0</v>
      </c>
      <c r="F491" s="4" t="str">
        <f t="shared" si="1"/>
        <v>500 &amp; Below</v>
      </c>
    </row>
    <row r="492" ht="15.75" customHeight="1">
      <c r="A492" s="4" t="s">
        <v>8</v>
      </c>
      <c r="B492" s="7">
        <v>45563.0</v>
      </c>
      <c r="C492" s="4" t="s">
        <v>95</v>
      </c>
      <c r="D492" s="4" t="s">
        <v>27</v>
      </c>
      <c r="E492" s="8">
        <v>25170.0</v>
      </c>
      <c r="F492" s="4" t="str">
        <f t="shared" si="1"/>
        <v>Above 500</v>
      </c>
    </row>
    <row r="493" ht="15.75" customHeight="1">
      <c r="A493" s="4" t="s">
        <v>8</v>
      </c>
      <c r="B493" s="7">
        <v>45563.0</v>
      </c>
      <c r="C493" s="4" t="s">
        <v>95</v>
      </c>
      <c r="D493" s="4" t="s">
        <v>39</v>
      </c>
      <c r="E493" s="8">
        <v>50.0</v>
      </c>
      <c r="F493" s="4" t="str">
        <f t="shared" si="1"/>
        <v>500 &amp; Below</v>
      </c>
    </row>
    <row r="494" ht="15.75" customHeight="1">
      <c r="A494" s="4" t="s">
        <v>8</v>
      </c>
      <c r="B494" s="7">
        <v>45564.0</v>
      </c>
      <c r="C494" s="4" t="s">
        <v>95</v>
      </c>
      <c r="D494" s="4" t="s">
        <v>32</v>
      </c>
      <c r="E494" s="8">
        <v>299.0</v>
      </c>
      <c r="F494" s="4" t="str">
        <f t="shared" si="1"/>
        <v>500 &amp; Below</v>
      </c>
    </row>
    <row r="495" ht="15.75" customHeight="1">
      <c r="A495" s="4" t="s">
        <v>8</v>
      </c>
      <c r="B495" s="7">
        <v>45565.0</v>
      </c>
      <c r="C495" s="4" t="s">
        <v>95</v>
      </c>
      <c r="D495" s="4" t="s">
        <v>375</v>
      </c>
      <c r="E495" s="8">
        <v>139.0</v>
      </c>
      <c r="F495" s="4" t="str">
        <f t="shared" si="1"/>
        <v>500 &amp; Below</v>
      </c>
    </row>
    <row r="496" ht="15.75" customHeight="1">
      <c r="A496" s="4" t="s">
        <v>8</v>
      </c>
      <c r="B496" s="7">
        <v>45565.0</v>
      </c>
      <c r="C496" s="4" t="s">
        <v>95</v>
      </c>
      <c r="D496" s="4" t="s">
        <v>79</v>
      </c>
      <c r="E496" s="8">
        <v>70.0</v>
      </c>
      <c r="F496" s="4" t="str">
        <f t="shared" si="1"/>
        <v>500 &amp; Below</v>
      </c>
    </row>
    <row r="497" ht="15.75" customHeight="1">
      <c r="A497" s="4" t="s">
        <v>8</v>
      </c>
      <c r="B497" s="7">
        <v>45565.0</v>
      </c>
      <c r="C497" s="4" t="s">
        <v>95</v>
      </c>
      <c r="D497" s="4" t="s">
        <v>18</v>
      </c>
      <c r="E497" s="8">
        <v>137.2</v>
      </c>
      <c r="F497" s="4" t="str">
        <f t="shared" si="1"/>
        <v>500 &amp; Below</v>
      </c>
    </row>
    <row r="498" ht="15.75" customHeight="1">
      <c r="A498" s="4" t="s">
        <v>8</v>
      </c>
      <c r="B498" s="7">
        <v>45565.0</v>
      </c>
      <c r="C498" s="4" t="s">
        <v>95</v>
      </c>
      <c r="D498" s="4" t="s">
        <v>1209</v>
      </c>
      <c r="E498" s="8">
        <v>80.0</v>
      </c>
      <c r="F498" s="4" t="str">
        <f t="shared" si="1"/>
        <v>500 &amp; Below</v>
      </c>
    </row>
    <row r="499" ht="15.75" customHeight="1">
      <c r="A499" s="4" t="s">
        <v>8</v>
      </c>
      <c r="B499" s="7">
        <v>45565.0</v>
      </c>
      <c r="C499" s="4" t="s">
        <v>95</v>
      </c>
      <c r="D499" s="4" t="s">
        <v>112</v>
      </c>
      <c r="E499" s="8">
        <v>10.0</v>
      </c>
      <c r="F499" s="4" t="str">
        <f t="shared" si="1"/>
        <v>500 &amp; Below</v>
      </c>
    </row>
    <row r="500" ht="15.75" customHeight="1">
      <c r="A500" s="4" t="s">
        <v>8</v>
      </c>
      <c r="B500" s="7">
        <v>45565.0</v>
      </c>
      <c r="C500" s="4" t="s">
        <v>95</v>
      </c>
      <c r="D500" s="4" t="s">
        <v>48</v>
      </c>
      <c r="E500" s="8">
        <v>228.0</v>
      </c>
      <c r="F500" s="4" t="str">
        <f t="shared" si="1"/>
        <v>500 &amp; Below</v>
      </c>
    </row>
    <row r="501" ht="15.75" customHeight="1">
      <c r="A501" s="4" t="s">
        <v>8</v>
      </c>
      <c r="B501" s="7">
        <v>45567.0</v>
      </c>
      <c r="C501" s="4" t="s">
        <v>100</v>
      </c>
      <c r="D501" s="4" t="s">
        <v>532</v>
      </c>
      <c r="E501" s="8">
        <v>210.0</v>
      </c>
      <c r="F501" s="4" t="str">
        <f t="shared" si="1"/>
        <v>500 &amp; Below</v>
      </c>
    </row>
    <row r="502" ht="15.75" customHeight="1">
      <c r="A502" s="4" t="s">
        <v>8</v>
      </c>
      <c r="B502" s="7">
        <v>45567.0</v>
      </c>
      <c r="C502" s="4" t="s">
        <v>100</v>
      </c>
      <c r="D502" s="4" t="s">
        <v>18</v>
      </c>
      <c r="E502" s="8">
        <v>524.18</v>
      </c>
      <c r="F502" s="4" t="str">
        <f t="shared" si="1"/>
        <v>Above 500</v>
      </c>
    </row>
    <row r="503" ht="15.75" customHeight="1">
      <c r="A503" s="4" t="s">
        <v>8</v>
      </c>
      <c r="B503" s="7">
        <v>45568.0</v>
      </c>
      <c r="C503" s="4" t="s">
        <v>100</v>
      </c>
      <c r="D503" s="4" t="s">
        <v>24</v>
      </c>
      <c r="E503" s="8">
        <v>60.0</v>
      </c>
      <c r="F503" s="4" t="str">
        <f t="shared" si="1"/>
        <v>500 &amp; Below</v>
      </c>
    </row>
    <row r="504" ht="15.75" customHeight="1">
      <c r="A504" s="4" t="s">
        <v>8</v>
      </c>
      <c r="B504" s="7">
        <v>45568.0</v>
      </c>
      <c r="C504" s="4" t="s">
        <v>100</v>
      </c>
      <c r="D504" s="4" t="s">
        <v>28</v>
      </c>
      <c r="E504" s="8">
        <v>1000.0</v>
      </c>
      <c r="F504" s="4" t="str">
        <f t="shared" si="1"/>
        <v>Above 500</v>
      </c>
    </row>
    <row r="505" ht="15.75" customHeight="1">
      <c r="A505" s="4" t="s">
        <v>8</v>
      </c>
      <c r="B505" s="7">
        <v>45569.0</v>
      </c>
      <c r="C505" s="4" t="s">
        <v>100</v>
      </c>
      <c r="D505" s="4" t="s">
        <v>28</v>
      </c>
      <c r="E505" s="8">
        <v>200.0</v>
      </c>
      <c r="F505" s="4" t="str">
        <f t="shared" si="1"/>
        <v>500 &amp; Below</v>
      </c>
    </row>
    <row r="506" ht="15.75" customHeight="1">
      <c r="A506" s="4" t="s">
        <v>8</v>
      </c>
      <c r="B506" s="7">
        <v>45569.0</v>
      </c>
      <c r="C506" s="4" t="s">
        <v>100</v>
      </c>
      <c r="D506" s="4" t="s">
        <v>1237</v>
      </c>
      <c r="E506" s="8">
        <v>300.0</v>
      </c>
      <c r="F506" s="4" t="str">
        <f t="shared" si="1"/>
        <v>500 &amp; Below</v>
      </c>
    </row>
    <row r="507" ht="15.75" customHeight="1">
      <c r="A507" s="4" t="s">
        <v>8</v>
      </c>
      <c r="B507" s="7">
        <v>45569.0</v>
      </c>
      <c r="C507" s="4" t="s">
        <v>100</v>
      </c>
      <c r="D507" s="4" t="s">
        <v>121</v>
      </c>
      <c r="E507" s="8">
        <v>800.0</v>
      </c>
      <c r="F507" s="4" t="str">
        <f t="shared" si="1"/>
        <v>Above 500</v>
      </c>
    </row>
    <row r="508" ht="15.75" customHeight="1">
      <c r="A508" s="4" t="s">
        <v>8</v>
      </c>
      <c r="B508" s="7">
        <v>45570.0</v>
      </c>
      <c r="C508" s="4" t="s">
        <v>100</v>
      </c>
      <c r="D508" s="4" t="s">
        <v>27</v>
      </c>
      <c r="E508" s="8">
        <v>300.0</v>
      </c>
      <c r="F508" s="4" t="str">
        <f t="shared" si="1"/>
        <v>500 &amp; Below</v>
      </c>
    </row>
    <row r="509" ht="15.75" customHeight="1">
      <c r="A509" s="4" t="s">
        <v>8</v>
      </c>
      <c r="B509" s="7">
        <v>45570.0</v>
      </c>
      <c r="C509" s="4" t="s">
        <v>100</v>
      </c>
      <c r="D509" s="4" t="s">
        <v>119</v>
      </c>
      <c r="E509" s="8">
        <v>40.0</v>
      </c>
      <c r="F509" s="4" t="str">
        <f t="shared" si="1"/>
        <v>500 &amp; Below</v>
      </c>
    </row>
    <row r="510" ht="15.75" customHeight="1">
      <c r="A510" s="4" t="s">
        <v>8</v>
      </c>
      <c r="B510" s="7">
        <v>45570.0</v>
      </c>
      <c r="C510" s="4" t="s">
        <v>100</v>
      </c>
      <c r="D510" s="4" t="s">
        <v>27</v>
      </c>
      <c r="E510" s="8">
        <v>6500.0</v>
      </c>
      <c r="F510" s="4" t="str">
        <f t="shared" si="1"/>
        <v>Above 500</v>
      </c>
    </row>
    <row r="511" ht="15.75" customHeight="1">
      <c r="A511" s="4" t="s">
        <v>8</v>
      </c>
      <c r="B511" s="7">
        <v>45570.0</v>
      </c>
      <c r="C511" s="4" t="s">
        <v>100</v>
      </c>
      <c r="D511" s="4" t="s">
        <v>27</v>
      </c>
      <c r="E511" s="8">
        <v>1500.0</v>
      </c>
      <c r="F511" s="4" t="str">
        <f t="shared" si="1"/>
        <v>Above 500</v>
      </c>
    </row>
    <row r="512" ht="15.75" customHeight="1">
      <c r="A512" s="4" t="s">
        <v>8</v>
      </c>
      <c r="B512" s="7">
        <v>45571.0</v>
      </c>
      <c r="C512" s="4" t="s">
        <v>100</v>
      </c>
      <c r="D512" s="4" t="s">
        <v>1252</v>
      </c>
      <c r="E512" s="8">
        <v>240.0</v>
      </c>
      <c r="F512" s="4" t="str">
        <f t="shared" si="1"/>
        <v>500 &amp; Below</v>
      </c>
    </row>
    <row r="513" ht="15.75" customHeight="1">
      <c r="A513" s="4" t="s">
        <v>8</v>
      </c>
      <c r="B513" s="7">
        <v>45571.0</v>
      </c>
      <c r="C513" s="4" t="s">
        <v>100</v>
      </c>
      <c r="D513" s="4" t="s">
        <v>27</v>
      </c>
      <c r="E513" s="8">
        <v>300.0</v>
      </c>
      <c r="F513" s="4" t="str">
        <f t="shared" si="1"/>
        <v>500 &amp; Below</v>
      </c>
    </row>
    <row r="514" ht="15.75" customHeight="1">
      <c r="A514" s="4" t="s">
        <v>8</v>
      </c>
      <c r="B514" s="7">
        <v>45572.0</v>
      </c>
      <c r="C514" s="4" t="s">
        <v>100</v>
      </c>
      <c r="D514" s="4" t="s">
        <v>27</v>
      </c>
      <c r="E514" s="8">
        <v>200.0</v>
      </c>
      <c r="F514" s="4" t="str">
        <f t="shared" si="1"/>
        <v>500 &amp; Below</v>
      </c>
    </row>
    <row r="515" ht="15.75" customHeight="1">
      <c r="A515" s="4" t="s">
        <v>8</v>
      </c>
      <c r="B515" s="7">
        <v>45572.0</v>
      </c>
      <c r="C515" s="4" t="s">
        <v>100</v>
      </c>
      <c r="D515" s="4" t="s">
        <v>52</v>
      </c>
      <c r="E515" s="8">
        <v>444.0</v>
      </c>
      <c r="F515" s="4" t="str">
        <f t="shared" si="1"/>
        <v>500 &amp; Below</v>
      </c>
    </row>
    <row r="516" ht="15.75" customHeight="1">
      <c r="A516" s="4" t="s">
        <v>8</v>
      </c>
      <c r="B516" s="7">
        <v>45572.0</v>
      </c>
      <c r="C516" s="4" t="s">
        <v>100</v>
      </c>
      <c r="D516" s="4" t="s">
        <v>1261</v>
      </c>
      <c r="E516" s="8">
        <v>30.0</v>
      </c>
      <c r="F516" s="4" t="str">
        <f t="shared" si="1"/>
        <v>500 &amp; Below</v>
      </c>
    </row>
    <row r="517" ht="15.75" customHeight="1">
      <c r="A517" s="4" t="s">
        <v>8</v>
      </c>
      <c r="B517" s="7">
        <v>45572.0</v>
      </c>
      <c r="C517" s="4" t="s">
        <v>100</v>
      </c>
      <c r="D517" s="4" t="s">
        <v>27</v>
      </c>
      <c r="E517" s="8">
        <v>300.0</v>
      </c>
      <c r="F517" s="4" t="str">
        <f t="shared" si="1"/>
        <v>500 &amp; Below</v>
      </c>
    </row>
    <row r="518" ht="15.75" customHeight="1">
      <c r="A518" s="4" t="s">
        <v>8</v>
      </c>
      <c r="B518" s="7">
        <v>45572.0</v>
      </c>
      <c r="C518" s="4" t="s">
        <v>100</v>
      </c>
      <c r="D518" s="4" t="s">
        <v>27</v>
      </c>
      <c r="E518" s="8">
        <v>400.0</v>
      </c>
      <c r="F518" s="4" t="str">
        <f t="shared" si="1"/>
        <v>500 &amp; Below</v>
      </c>
    </row>
    <row r="519" ht="15.75" customHeight="1">
      <c r="A519" s="4" t="s">
        <v>8</v>
      </c>
      <c r="B519" s="7">
        <v>45572.0</v>
      </c>
      <c r="C519" s="4" t="s">
        <v>100</v>
      </c>
      <c r="D519" s="4" t="s">
        <v>1265</v>
      </c>
      <c r="E519" s="8">
        <v>480.0</v>
      </c>
      <c r="F519" s="4" t="str">
        <f t="shared" si="1"/>
        <v>500 &amp; Below</v>
      </c>
    </row>
    <row r="520" ht="15.75" customHeight="1">
      <c r="A520" s="4" t="s">
        <v>8</v>
      </c>
      <c r="B520" s="7">
        <v>45572.0</v>
      </c>
      <c r="C520" s="4" t="s">
        <v>100</v>
      </c>
      <c r="D520" s="4" t="s">
        <v>27</v>
      </c>
      <c r="E520" s="8">
        <v>200.0</v>
      </c>
      <c r="F520" s="4" t="str">
        <f t="shared" si="1"/>
        <v>500 &amp; Below</v>
      </c>
    </row>
    <row r="521" ht="15.75" customHeight="1">
      <c r="A521" s="4" t="s">
        <v>8</v>
      </c>
      <c r="B521" s="7">
        <v>45572.0</v>
      </c>
      <c r="C521" s="4" t="s">
        <v>100</v>
      </c>
      <c r="D521" s="4" t="s">
        <v>1266</v>
      </c>
      <c r="E521" s="8">
        <v>4500.0</v>
      </c>
      <c r="F521" s="4" t="str">
        <f t="shared" si="1"/>
        <v>Above 500</v>
      </c>
    </row>
    <row r="522" ht="15.75" customHeight="1">
      <c r="A522" s="4" t="s">
        <v>8</v>
      </c>
      <c r="B522" s="7">
        <v>45572.0</v>
      </c>
      <c r="C522" s="4" t="s">
        <v>100</v>
      </c>
      <c r="D522" s="4" t="s">
        <v>1267</v>
      </c>
      <c r="E522" s="8">
        <v>500.0</v>
      </c>
      <c r="F522" s="4" t="str">
        <f t="shared" si="1"/>
        <v>500 &amp; Below</v>
      </c>
    </row>
    <row r="523" ht="15.75" customHeight="1">
      <c r="A523" s="4" t="s">
        <v>8</v>
      </c>
      <c r="B523" s="7">
        <v>45572.0</v>
      </c>
      <c r="C523" s="4" t="s">
        <v>100</v>
      </c>
      <c r="D523" s="4" t="s">
        <v>62</v>
      </c>
      <c r="E523" s="8">
        <v>100.0</v>
      </c>
      <c r="F523" s="4" t="str">
        <f t="shared" si="1"/>
        <v>500 &amp; Below</v>
      </c>
    </row>
    <row r="524" ht="15.75" customHeight="1">
      <c r="A524" s="4" t="s">
        <v>8</v>
      </c>
      <c r="B524" s="7">
        <v>45573.0</v>
      </c>
      <c r="C524" s="4" t="s">
        <v>100</v>
      </c>
      <c r="D524" s="4" t="s">
        <v>76</v>
      </c>
      <c r="E524" s="8">
        <v>20.0</v>
      </c>
      <c r="F524" s="4" t="str">
        <f t="shared" si="1"/>
        <v>500 &amp; Below</v>
      </c>
    </row>
    <row r="525" ht="15.75" customHeight="1">
      <c r="A525" s="4" t="s">
        <v>8</v>
      </c>
      <c r="B525" s="7">
        <v>45573.0</v>
      </c>
      <c r="C525" s="4" t="s">
        <v>100</v>
      </c>
      <c r="D525" s="4" t="s">
        <v>194</v>
      </c>
      <c r="E525" s="8">
        <v>3.0</v>
      </c>
      <c r="F525" s="4" t="str">
        <f t="shared" si="1"/>
        <v>500 &amp; Below</v>
      </c>
    </row>
    <row r="526" ht="15.75" customHeight="1">
      <c r="A526" s="4" t="s">
        <v>8</v>
      </c>
      <c r="B526" s="7">
        <v>45573.0</v>
      </c>
      <c r="C526" s="4" t="s">
        <v>100</v>
      </c>
      <c r="D526" s="4" t="s">
        <v>1278</v>
      </c>
      <c r="E526" s="8">
        <v>30.0</v>
      </c>
      <c r="F526" s="4" t="str">
        <f t="shared" si="1"/>
        <v>500 &amp; Below</v>
      </c>
    </row>
    <row r="527" ht="15.75" customHeight="1">
      <c r="A527" s="4" t="s">
        <v>8</v>
      </c>
      <c r="B527" s="7">
        <v>45573.0</v>
      </c>
      <c r="C527" s="4" t="s">
        <v>100</v>
      </c>
      <c r="D527" s="4" t="s">
        <v>79</v>
      </c>
      <c r="E527" s="8">
        <v>25.0</v>
      </c>
      <c r="F527" s="4" t="str">
        <f t="shared" si="1"/>
        <v>500 &amp; Below</v>
      </c>
    </row>
    <row r="528" ht="15.75" customHeight="1">
      <c r="A528" s="4" t="s">
        <v>8</v>
      </c>
      <c r="B528" s="7">
        <v>45574.0</v>
      </c>
      <c r="C528" s="4" t="s">
        <v>100</v>
      </c>
      <c r="D528" s="4" t="s">
        <v>1284</v>
      </c>
      <c r="E528" s="8">
        <v>300.0</v>
      </c>
      <c r="F528" s="4" t="str">
        <f t="shared" si="1"/>
        <v>500 &amp; Below</v>
      </c>
    </row>
    <row r="529" ht="15.75" customHeight="1">
      <c r="A529" s="4" t="s">
        <v>8</v>
      </c>
      <c r="B529" s="7">
        <v>45574.0</v>
      </c>
      <c r="C529" s="4" t="s">
        <v>100</v>
      </c>
      <c r="D529" s="4" t="s">
        <v>78</v>
      </c>
      <c r="E529" s="8">
        <v>329.0</v>
      </c>
      <c r="F529" s="4" t="str">
        <f t="shared" si="1"/>
        <v>500 &amp; Below</v>
      </c>
    </row>
    <row r="530" ht="15.75" customHeight="1">
      <c r="A530" s="4" t="s">
        <v>8</v>
      </c>
      <c r="B530" s="7">
        <v>45575.0</v>
      </c>
      <c r="C530" s="4" t="s">
        <v>100</v>
      </c>
      <c r="D530" s="4" t="s">
        <v>24</v>
      </c>
      <c r="E530" s="8">
        <v>35.0</v>
      </c>
      <c r="F530" s="4" t="str">
        <f t="shared" si="1"/>
        <v>500 &amp; Below</v>
      </c>
    </row>
    <row r="531" ht="15.75" customHeight="1">
      <c r="A531" s="4" t="s">
        <v>8</v>
      </c>
      <c r="B531" s="7">
        <v>45575.0</v>
      </c>
      <c r="C531" s="4" t="s">
        <v>100</v>
      </c>
      <c r="D531" s="4" t="s">
        <v>33</v>
      </c>
      <c r="E531" s="8">
        <v>139.0</v>
      </c>
      <c r="F531" s="4" t="str">
        <f t="shared" si="1"/>
        <v>500 &amp; Below</v>
      </c>
    </row>
    <row r="532" ht="15.75" customHeight="1">
      <c r="A532" s="4" t="s">
        <v>8</v>
      </c>
      <c r="B532" s="7">
        <v>45576.0</v>
      </c>
      <c r="C532" s="4" t="s">
        <v>100</v>
      </c>
      <c r="D532" s="4" t="s">
        <v>956</v>
      </c>
      <c r="E532" s="8">
        <v>25.0</v>
      </c>
      <c r="F532" s="4" t="str">
        <f t="shared" si="1"/>
        <v>500 &amp; Below</v>
      </c>
    </row>
    <row r="533" ht="15.75" customHeight="1">
      <c r="A533" s="4" t="s">
        <v>8</v>
      </c>
      <c r="B533" s="7">
        <v>45577.0</v>
      </c>
      <c r="C533" s="4" t="s">
        <v>100</v>
      </c>
      <c r="D533" s="4" t="s">
        <v>36</v>
      </c>
      <c r="E533" s="8">
        <v>4135.0</v>
      </c>
      <c r="F533" s="4" t="str">
        <f t="shared" si="1"/>
        <v>Above 500</v>
      </c>
    </row>
    <row r="534" ht="15.75" customHeight="1">
      <c r="A534" s="4" t="s">
        <v>8</v>
      </c>
      <c r="B534" s="7">
        <v>45577.0</v>
      </c>
      <c r="C534" s="4" t="s">
        <v>100</v>
      </c>
      <c r="D534" s="4" t="s">
        <v>36</v>
      </c>
      <c r="E534" s="8">
        <v>2178.0</v>
      </c>
      <c r="F534" s="4" t="str">
        <f t="shared" si="1"/>
        <v>Above 500</v>
      </c>
    </row>
    <row r="535" ht="15.75" customHeight="1">
      <c r="A535" s="4" t="s">
        <v>8</v>
      </c>
      <c r="B535" s="7">
        <v>45577.0</v>
      </c>
      <c r="C535" s="4" t="s">
        <v>100</v>
      </c>
      <c r="D535" s="4" t="s">
        <v>36</v>
      </c>
      <c r="E535" s="8">
        <v>1934.0</v>
      </c>
      <c r="F535" s="4" t="str">
        <f t="shared" si="1"/>
        <v>Above 500</v>
      </c>
    </row>
    <row r="536" ht="15.75" customHeight="1">
      <c r="A536" s="4" t="s">
        <v>8</v>
      </c>
      <c r="B536" s="7">
        <v>45577.0</v>
      </c>
      <c r="C536" s="4" t="s">
        <v>100</v>
      </c>
      <c r="D536" s="4" t="s">
        <v>1307</v>
      </c>
      <c r="E536" s="8">
        <v>50.0</v>
      </c>
      <c r="F536" s="4" t="str">
        <f t="shared" si="1"/>
        <v>500 &amp; Below</v>
      </c>
    </row>
    <row r="537" ht="15.75" customHeight="1">
      <c r="A537" s="4" t="s">
        <v>8</v>
      </c>
      <c r="B537" s="7">
        <v>45578.0</v>
      </c>
      <c r="C537" s="4" t="s">
        <v>100</v>
      </c>
      <c r="D537" s="4" t="s">
        <v>1310</v>
      </c>
      <c r="E537" s="8">
        <v>20.0</v>
      </c>
      <c r="F537" s="4" t="str">
        <f t="shared" si="1"/>
        <v>500 &amp; Below</v>
      </c>
    </row>
    <row r="538" ht="15.75" customHeight="1">
      <c r="A538" s="4" t="s">
        <v>8</v>
      </c>
      <c r="B538" s="7">
        <v>45578.0</v>
      </c>
      <c r="C538" s="4" t="s">
        <v>100</v>
      </c>
      <c r="D538" s="4" t="s">
        <v>1315</v>
      </c>
      <c r="E538" s="8">
        <v>30.0</v>
      </c>
      <c r="F538" s="4" t="str">
        <f t="shared" si="1"/>
        <v>500 &amp; Below</v>
      </c>
    </row>
    <row r="539" ht="15.75" customHeight="1">
      <c r="A539" s="4" t="s">
        <v>8</v>
      </c>
      <c r="B539" s="7">
        <v>45578.0</v>
      </c>
      <c r="C539" s="4" t="s">
        <v>100</v>
      </c>
      <c r="D539" s="4" t="s">
        <v>102</v>
      </c>
      <c r="E539" s="8">
        <v>35.0</v>
      </c>
      <c r="F539" s="4" t="str">
        <f t="shared" si="1"/>
        <v>500 &amp; Below</v>
      </c>
    </row>
    <row r="540" ht="15.75" customHeight="1">
      <c r="A540" s="4" t="s">
        <v>8</v>
      </c>
      <c r="B540" s="7">
        <v>45579.0</v>
      </c>
      <c r="C540" s="4" t="s">
        <v>100</v>
      </c>
      <c r="D540" s="4" t="s">
        <v>1190</v>
      </c>
      <c r="E540" s="8">
        <v>60.0</v>
      </c>
      <c r="F540" s="4" t="str">
        <f t="shared" si="1"/>
        <v>500 &amp; Below</v>
      </c>
    </row>
    <row r="541" ht="15.75" customHeight="1">
      <c r="A541" s="4" t="s">
        <v>8</v>
      </c>
      <c r="B541" s="7">
        <v>45579.0</v>
      </c>
      <c r="C541" s="4" t="s">
        <v>100</v>
      </c>
      <c r="D541" s="4" t="s">
        <v>928</v>
      </c>
      <c r="E541" s="8">
        <v>100.0</v>
      </c>
      <c r="F541" s="4" t="str">
        <f t="shared" si="1"/>
        <v>500 &amp; Below</v>
      </c>
    </row>
    <row r="542" ht="15.75" customHeight="1">
      <c r="A542" s="4" t="s">
        <v>8</v>
      </c>
      <c r="B542" s="7">
        <v>45579.0</v>
      </c>
      <c r="C542" s="4" t="s">
        <v>100</v>
      </c>
      <c r="D542" s="4" t="s">
        <v>587</v>
      </c>
      <c r="E542" s="8">
        <v>350.0</v>
      </c>
      <c r="F542" s="4" t="str">
        <f t="shared" si="1"/>
        <v>500 &amp; Below</v>
      </c>
    </row>
    <row r="543" ht="15.75" customHeight="1">
      <c r="A543" s="4" t="s">
        <v>8</v>
      </c>
      <c r="B543" s="7">
        <v>45579.0</v>
      </c>
      <c r="C543" s="4" t="s">
        <v>100</v>
      </c>
      <c r="D543" s="4" t="s">
        <v>286</v>
      </c>
      <c r="E543" s="8">
        <v>130.0</v>
      </c>
      <c r="F543" s="4" t="str">
        <f t="shared" si="1"/>
        <v>500 &amp; Below</v>
      </c>
    </row>
    <row r="544" ht="15.75" customHeight="1">
      <c r="A544" s="4" t="s">
        <v>8</v>
      </c>
      <c r="B544" s="7">
        <v>45579.0</v>
      </c>
      <c r="C544" s="4" t="s">
        <v>100</v>
      </c>
      <c r="D544" s="4" t="s">
        <v>103</v>
      </c>
      <c r="E544" s="8">
        <v>320.0</v>
      </c>
      <c r="F544" s="4" t="str">
        <f t="shared" si="1"/>
        <v>500 &amp; Below</v>
      </c>
    </row>
    <row r="545" ht="15.75" customHeight="1">
      <c r="A545" s="4" t="s">
        <v>8</v>
      </c>
      <c r="B545" s="7">
        <v>45579.0</v>
      </c>
      <c r="C545" s="4" t="s">
        <v>100</v>
      </c>
      <c r="D545" s="4" t="s">
        <v>18</v>
      </c>
      <c r="E545" s="8">
        <v>83.3</v>
      </c>
      <c r="F545" s="4" t="str">
        <f t="shared" si="1"/>
        <v>500 &amp; Below</v>
      </c>
    </row>
    <row r="546" ht="15.75" customHeight="1">
      <c r="A546" s="4" t="s">
        <v>8</v>
      </c>
      <c r="B546" s="7">
        <v>45579.0</v>
      </c>
      <c r="C546" s="4" t="s">
        <v>100</v>
      </c>
      <c r="D546" s="4" t="s">
        <v>1340</v>
      </c>
      <c r="E546" s="8">
        <v>1157.0</v>
      </c>
      <c r="F546" s="4" t="str">
        <f t="shared" si="1"/>
        <v>Above 500</v>
      </c>
    </row>
    <row r="547" ht="15.75" customHeight="1">
      <c r="A547" s="4" t="s">
        <v>8</v>
      </c>
      <c r="B547" s="7">
        <v>45579.0</v>
      </c>
      <c r="C547" s="4" t="s">
        <v>100</v>
      </c>
      <c r="D547" s="4" t="s">
        <v>1343</v>
      </c>
      <c r="E547" s="8">
        <v>20.0</v>
      </c>
      <c r="F547" s="4" t="str">
        <f t="shared" si="1"/>
        <v>500 &amp; Below</v>
      </c>
    </row>
    <row r="548" ht="15.75" customHeight="1">
      <c r="A548" s="4" t="s">
        <v>8</v>
      </c>
      <c r="B548" s="7">
        <v>45579.0</v>
      </c>
      <c r="C548" s="4" t="s">
        <v>100</v>
      </c>
      <c r="D548" s="4" t="s">
        <v>115</v>
      </c>
      <c r="E548" s="8">
        <v>190.0</v>
      </c>
      <c r="F548" s="4" t="str">
        <f t="shared" si="1"/>
        <v>500 &amp; Below</v>
      </c>
    </row>
    <row r="549" ht="15.75" customHeight="1">
      <c r="A549" s="4" t="s">
        <v>8</v>
      </c>
      <c r="B549" s="7">
        <v>45580.0</v>
      </c>
      <c r="C549" s="4" t="s">
        <v>100</v>
      </c>
      <c r="D549" s="4" t="s">
        <v>1190</v>
      </c>
      <c r="E549" s="8">
        <v>160.0</v>
      </c>
      <c r="F549" s="4" t="str">
        <f t="shared" si="1"/>
        <v>500 &amp; Below</v>
      </c>
    </row>
    <row r="550" ht="15.75" customHeight="1">
      <c r="A550" s="4" t="s">
        <v>8</v>
      </c>
      <c r="B550" s="7">
        <v>45580.0</v>
      </c>
      <c r="C550" s="4" t="s">
        <v>100</v>
      </c>
      <c r="D550" s="4" t="s">
        <v>27</v>
      </c>
      <c r="E550" s="8">
        <v>200.0</v>
      </c>
      <c r="F550" s="4" t="str">
        <f t="shared" si="1"/>
        <v>500 &amp; Below</v>
      </c>
    </row>
    <row r="551" ht="15.75" customHeight="1">
      <c r="A551" s="4" t="s">
        <v>8</v>
      </c>
      <c r="B551" s="7">
        <v>45580.0</v>
      </c>
      <c r="C551" s="4" t="s">
        <v>100</v>
      </c>
      <c r="D551" s="4" t="s">
        <v>1360</v>
      </c>
      <c r="E551" s="8">
        <v>10.0</v>
      </c>
      <c r="F551" s="4" t="str">
        <f t="shared" si="1"/>
        <v>500 &amp; Below</v>
      </c>
    </row>
    <row r="552" ht="15.75" customHeight="1">
      <c r="A552" s="4" t="s">
        <v>8</v>
      </c>
      <c r="B552" s="7">
        <v>45580.0</v>
      </c>
      <c r="C552" s="4" t="s">
        <v>100</v>
      </c>
      <c r="D552" s="4" t="s">
        <v>1365</v>
      </c>
      <c r="E552" s="8">
        <v>10.0</v>
      </c>
      <c r="F552" s="4" t="str">
        <f t="shared" si="1"/>
        <v>500 &amp; Below</v>
      </c>
    </row>
    <row r="553" ht="15.75" customHeight="1">
      <c r="A553" s="4" t="s">
        <v>8</v>
      </c>
      <c r="B553" s="7">
        <v>45580.0</v>
      </c>
      <c r="C553" s="4" t="s">
        <v>100</v>
      </c>
      <c r="D553" s="4" t="s">
        <v>117</v>
      </c>
      <c r="E553" s="8">
        <v>65.0</v>
      </c>
      <c r="F553" s="4" t="str">
        <f t="shared" si="1"/>
        <v>500 &amp; Below</v>
      </c>
    </row>
    <row r="554" ht="15.75" customHeight="1">
      <c r="A554" s="4" t="s">
        <v>8</v>
      </c>
      <c r="B554" s="7">
        <v>45580.0</v>
      </c>
      <c r="C554" s="4" t="s">
        <v>100</v>
      </c>
      <c r="D554" s="4" t="s">
        <v>1372</v>
      </c>
      <c r="E554" s="8">
        <v>55.0</v>
      </c>
      <c r="F554" s="4" t="str">
        <f t="shared" si="1"/>
        <v>500 &amp; Below</v>
      </c>
    </row>
    <row r="555" ht="15.75" customHeight="1">
      <c r="A555" s="4" t="s">
        <v>8</v>
      </c>
      <c r="B555" s="7">
        <v>45580.0</v>
      </c>
      <c r="C555" s="4" t="s">
        <v>100</v>
      </c>
      <c r="D555" s="4" t="s">
        <v>1190</v>
      </c>
      <c r="E555" s="8">
        <v>36.0</v>
      </c>
      <c r="F555" s="4" t="str">
        <f t="shared" si="1"/>
        <v>500 &amp; Below</v>
      </c>
    </row>
    <row r="556" ht="15.75" customHeight="1">
      <c r="A556" s="4" t="s">
        <v>8</v>
      </c>
      <c r="B556" s="7">
        <v>45581.0</v>
      </c>
      <c r="C556" s="4" t="s">
        <v>100</v>
      </c>
      <c r="D556" s="4" t="s">
        <v>703</v>
      </c>
      <c r="E556" s="8">
        <v>50.0</v>
      </c>
      <c r="F556" s="4" t="str">
        <f t="shared" si="1"/>
        <v>500 &amp; Below</v>
      </c>
    </row>
    <row r="557" ht="15.75" customHeight="1">
      <c r="A557" s="4" t="s">
        <v>8</v>
      </c>
      <c r="B557" s="7">
        <v>45581.0</v>
      </c>
      <c r="C557" s="4" t="s">
        <v>100</v>
      </c>
      <c r="D557" s="4" t="s">
        <v>18</v>
      </c>
      <c r="E557" s="8">
        <v>281.52</v>
      </c>
      <c r="F557" s="4" t="str">
        <f t="shared" si="1"/>
        <v>500 &amp; Below</v>
      </c>
    </row>
    <row r="558" ht="15.75" customHeight="1">
      <c r="A558" s="4" t="s">
        <v>8</v>
      </c>
      <c r="B558" s="7">
        <v>45581.0</v>
      </c>
      <c r="C558" s="4" t="s">
        <v>100</v>
      </c>
      <c r="D558" s="4" t="s">
        <v>1383</v>
      </c>
      <c r="E558" s="8">
        <v>200.0</v>
      </c>
      <c r="F558" s="4" t="str">
        <f t="shared" si="1"/>
        <v>500 &amp; Below</v>
      </c>
    </row>
    <row r="559" ht="15.75" customHeight="1">
      <c r="A559" s="4" t="s">
        <v>8</v>
      </c>
      <c r="B559" s="7">
        <v>45581.0</v>
      </c>
      <c r="C559" s="4" t="s">
        <v>100</v>
      </c>
      <c r="D559" s="4" t="s">
        <v>989</v>
      </c>
      <c r="E559" s="8">
        <v>400.0</v>
      </c>
      <c r="F559" s="4" t="str">
        <f t="shared" si="1"/>
        <v>500 &amp; Below</v>
      </c>
    </row>
    <row r="560" ht="15.75" customHeight="1">
      <c r="A560" s="4" t="s">
        <v>8</v>
      </c>
      <c r="B560" s="7">
        <v>45581.0</v>
      </c>
      <c r="C560" s="4" t="s">
        <v>100</v>
      </c>
      <c r="D560" s="4" t="s">
        <v>18</v>
      </c>
      <c r="E560" s="8">
        <v>319.3</v>
      </c>
      <c r="F560" s="4" t="str">
        <f t="shared" si="1"/>
        <v>500 &amp; Below</v>
      </c>
    </row>
    <row r="561" ht="15.75" customHeight="1">
      <c r="A561" s="4" t="s">
        <v>8</v>
      </c>
      <c r="B561" s="7">
        <v>45581.0</v>
      </c>
      <c r="C561" s="4" t="s">
        <v>100</v>
      </c>
      <c r="D561" s="4" t="s">
        <v>1392</v>
      </c>
      <c r="E561" s="8">
        <v>220.0</v>
      </c>
      <c r="F561" s="4" t="str">
        <f t="shared" si="1"/>
        <v>500 &amp; Below</v>
      </c>
    </row>
    <row r="562" ht="15.75" customHeight="1">
      <c r="A562" s="4" t="s">
        <v>8</v>
      </c>
      <c r="B562" s="7">
        <v>45582.0</v>
      </c>
      <c r="C562" s="4" t="s">
        <v>100</v>
      </c>
      <c r="D562" s="4" t="s">
        <v>119</v>
      </c>
      <c r="E562" s="8">
        <v>27.0</v>
      </c>
      <c r="F562" s="4" t="str">
        <f t="shared" si="1"/>
        <v>500 &amp; Below</v>
      </c>
    </row>
    <row r="563" ht="15.75" customHeight="1">
      <c r="A563" s="4" t="s">
        <v>8</v>
      </c>
      <c r="B563" s="7">
        <v>45582.0</v>
      </c>
      <c r="C563" s="4" t="s">
        <v>100</v>
      </c>
      <c r="D563" s="4" t="s">
        <v>1395</v>
      </c>
      <c r="E563" s="8">
        <v>300.0</v>
      </c>
      <c r="F563" s="4" t="str">
        <f t="shared" si="1"/>
        <v>500 &amp; Below</v>
      </c>
    </row>
    <row r="564" ht="15.75" customHeight="1">
      <c r="A564" s="4" t="s">
        <v>8</v>
      </c>
      <c r="B564" s="7">
        <v>45582.0</v>
      </c>
      <c r="C564" s="4" t="s">
        <v>100</v>
      </c>
      <c r="D564" s="4" t="s">
        <v>194</v>
      </c>
      <c r="E564" s="8">
        <v>35.0</v>
      </c>
      <c r="F564" s="4" t="str">
        <f t="shared" si="1"/>
        <v>500 &amp; Below</v>
      </c>
    </row>
    <row r="565" ht="15.75" customHeight="1">
      <c r="A565" s="4" t="s">
        <v>8</v>
      </c>
      <c r="B565" s="7">
        <v>45583.0</v>
      </c>
      <c r="C565" s="4" t="s">
        <v>100</v>
      </c>
      <c r="D565" s="4" t="s">
        <v>1397</v>
      </c>
      <c r="E565" s="8">
        <v>2980.0</v>
      </c>
      <c r="F565" s="4" t="str">
        <f t="shared" si="1"/>
        <v>Above 500</v>
      </c>
    </row>
    <row r="566" ht="15.75" customHeight="1">
      <c r="A566" s="4" t="s">
        <v>8</v>
      </c>
      <c r="B566" s="7">
        <v>45583.0</v>
      </c>
      <c r="C566" s="4" t="s">
        <v>100</v>
      </c>
      <c r="D566" s="4" t="s">
        <v>1237</v>
      </c>
      <c r="E566" s="8">
        <v>200.0</v>
      </c>
      <c r="F566" s="4" t="str">
        <f t="shared" si="1"/>
        <v>500 &amp; Below</v>
      </c>
    </row>
    <row r="567" ht="15.75" customHeight="1">
      <c r="A567" s="4" t="s">
        <v>8</v>
      </c>
      <c r="B567" s="7">
        <v>45584.0</v>
      </c>
      <c r="C567" s="4" t="s">
        <v>100</v>
      </c>
      <c r="D567" s="4" t="s">
        <v>1399</v>
      </c>
      <c r="E567" s="8">
        <v>300.0</v>
      </c>
      <c r="F567" s="4" t="str">
        <f t="shared" si="1"/>
        <v>500 &amp; Below</v>
      </c>
    </row>
    <row r="568" ht="15.75" customHeight="1">
      <c r="A568" s="4" t="s">
        <v>8</v>
      </c>
      <c r="B568" s="7">
        <v>45584.0</v>
      </c>
      <c r="C568" s="4" t="s">
        <v>100</v>
      </c>
      <c r="D568" s="4" t="s">
        <v>1404</v>
      </c>
      <c r="E568" s="8">
        <v>26100.0</v>
      </c>
      <c r="F568" s="4" t="str">
        <f t="shared" si="1"/>
        <v>Above 500</v>
      </c>
    </row>
    <row r="569" ht="15.75" customHeight="1">
      <c r="A569" s="4" t="s">
        <v>8</v>
      </c>
      <c r="B569" s="7">
        <v>45585.0</v>
      </c>
      <c r="C569" s="4" t="s">
        <v>100</v>
      </c>
      <c r="D569" s="4" t="s">
        <v>1407</v>
      </c>
      <c r="E569" s="8">
        <v>260.0</v>
      </c>
      <c r="F569" s="4" t="str">
        <f t="shared" si="1"/>
        <v>500 &amp; Below</v>
      </c>
    </row>
    <row r="570" ht="15.75" customHeight="1">
      <c r="A570" s="4" t="s">
        <v>8</v>
      </c>
      <c r="B570" s="7">
        <v>45585.0</v>
      </c>
      <c r="C570" s="4" t="s">
        <v>100</v>
      </c>
      <c r="D570" s="4" t="s">
        <v>1411</v>
      </c>
      <c r="E570" s="8">
        <v>10.0</v>
      </c>
      <c r="F570" s="4" t="str">
        <f t="shared" si="1"/>
        <v>500 &amp; Below</v>
      </c>
    </row>
    <row r="571" ht="15.75" customHeight="1">
      <c r="A571" s="4" t="s">
        <v>8</v>
      </c>
      <c r="B571" s="7">
        <v>45585.0</v>
      </c>
      <c r="C571" s="4" t="s">
        <v>100</v>
      </c>
      <c r="D571" s="4" t="s">
        <v>117</v>
      </c>
      <c r="E571" s="8">
        <v>40.0</v>
      </c>
      <c r="F571" s="4" t="str">
        <f t="shared" si="1"/>
        <v>500 &amp; Below</v>
      </c>
    </row>
    <row r="572" ht="15.75" customHeight="1">
      <c r="A572" s="4" t="s">
        <v>8</v>
      </c>
      <c r="B572" s="7">
        <v>45585.0</v>
      </c>
      <c r="C572" s="4" t="s">
        <v>100</v>
      </c>
      <c r="D572" s="4" t="s">
        <v>115</v>
      </c>
      <c r="E572" s="8">
        <v>50.0</v>
      </c>
      <c r="F572" s="4" t="str">
        <f t="shared" si="1"/>
        <v>500 &amp; Below</v>
      </c>
    </row>
    <row r="573" ht="15.75" customHeight="1">
      <c r="A573" s="4" t="s">
        <v>8</v>
      </c>
      <c r="B573" s="7">
        <v>45586.0</v>
      </c>
      <c r="C573" s="4" t="s">
        <v>100</v>
      </c>
      <c r="D573" s="4" t="s">
        <v>27</v>
      </c>
      <c r="E573" s="8">
        <v>500.0</v>
      </c>
      <c r="F573" s="4" t="str">
        <f t="shared" si="1"/>
        <v>500 &amp; Below</v>
      </c>
    </row>
    <row r="574" ht="15.75" customHeight="1">
      <c r="A574" s="4" t="s">
        <v>8</v>
      </c>
      <c r="B574" s="7">
        <v>45586.0</v>
      </c>
      <c r="C574" s="4" t="s">
        <v>100</v>
      </c>
      <c r="D574" s="4" t="s">
        <v>33</v>
      </c>
      <c r="E574" s="8">
        <v>145.0</v>
      </c>
      <c r="F574" s="4" t="str">
        <f t="shared" si="1"/>
        <v>500 &amp; Below</v>
      </c>
    </row>
    <row r="575" ht="15.75" customHeight="1">
      <c r="A575" s="4" t="s">
        <v>8</v>
      </c>
      <c r="B575" s="7">
        <v>45587.0</v>
      </c>
      <c r="C575" s="4" t="s">
        <v>100</v>
      </c>
      <c r="D575" s="4" t="s">
        <v>18</v>
      </c>
      <c r="E575" s="8">
        <v>162.52</v>
      </c>
      <c r="F575" s="4" t="str">
        <f t="shared" si="1"/>
        <v>500 &amp; Below</v>
      </c>
    </row>
    <row r="576" ht="15.75" customHeight="1">
      <c r="A576" s="4" t="s">
        <v>8</v>
      </c>
      <c r="B576" s="7">
        <v>45587.0</v>
      </c>
      <c r="C576" s="4" t="s">
        <v>100</v>
      </c>
      <c r="D576" s="4" t="s">
        <v>1404</v>
      </c>
      <c r="E576" s="8">
        <v>4200.0</v>
      </c>
      <c r="F576" s="4" t="str">
        <f t="shared" si="1"/>
        <v>Above 500</v>
      </c>
    </row>
    <row r="577" ht="15.75" customHeight="1">
      <c r="A577" s="4" t="s">
        <v>8</v>
      </c>
      <c r="B577" s="7">
        <v>45587.0</v>
      </c>
      <c r="C577" s="4" t="s">
        <v>100</v>
      </c>
      <c r="D577" s="4" t="s">
        <v>1372</v>
      </c>
      <c r="E577" s="8">
        <v>10.0</v>
      </c>
      <c r="F577" s="4" t="str">
        <f t="shared" si="1"/>
        <v>500 &amp; Below</v>
      </c>
    </row>
    <row r="578" ht="15.75" customHeight="1">
      <c r="A578" s="4" t="s">
        <v>8</v>
      </c>
      <c r="B578" s="7">
        <v>45588.0</v>
      </c>
      <c r="C578" s="4" t="s">
        <v>100</v>
      </c>
      <c r="D578" s="4" t="s">
        <v>1432</v>
      </c>
      <c r="E578" s="8">
        <v>200.0</v>
      </c>
      <c r="F578" s="4" t="str">
        <f t="shared" si="1"/>
        <v>500 &amp; Below</v>
      </c>
    </row>
    <row r="579" ht="15.75" customHeight="1">
      <c r="A579" s="4" t="s">
        <v>8</v>
      </c>
      <c r="B579" s="7">
        <v>45588.0</v>
      </c>
      <c r="C579" s="4" t="s">
        <v>100</v>
      </c>
      <c r="D579" s="4" t="s">
        <v>928</v>
      </c>
      <c r="E579" s="8">
        <v>145.0</v>
      </c>
      <c r="F579" s="4" t="str">
        <f t="shared" si="1"/>
        <v>500 &amp; Below</v>
      </c>
    </row>
    <row r="580" ht="15.75" customHeight="1">
      <c r="A580" s="4" t="s">
        <v>8</v>
      </c>
      <c r="B580" s="7">
        <v>45588.0</v>
      </c>
      <c r="C580" s="4" t="s">
        <v>100</v>
      </c>
      <c r="D580" s="4" t="s">
        <v>119</v>
      </c>
      <c r="E580" s="8">
        <v>183.0</v>
      </c>
      <c r="F580" s="4" t="str">
        <f t="shared" si="1"/>
        <v>500 &amp; Below</v>
      </c>
    </row>
    <row r="581" ht="15.75" customHeight="1">
      <c r="A581" s="4" t="s">
        <v>8</v>
      </c>
      <c r="B581" s="7">
        <v>45588.0</v>
      </c>
      <c r="C581" s="4" t="s">
        <v>100</v>
      </c>
      <c r="D581" s="4" t="s">
        <v>1365</v>
      </c>
      <c r="E581" s="8">
        <v>60.0</v>
      </c>
      <c r="F581" s="4" t="str">
        <f t="shared" si="1"/>
        <v>500 &amp; Below</v>
      </c>
    </row>
    <row r="582" ht="15.75" customHeight="1">
      <c r="A582" s="4" t="s">
        <v>8</v>
      </c>
      <c r="B582" s="7">
        <v>45588.0</v>
      </c>
      <c r="C582" s="4" t="s">
        <v>100</v>
      </c>
      <c r="D582" s="4" t="s">
        <v>1190</v>
      </c>
      <c r="E582" s="8">
        <v>170.0</v>
      </c>
      <c r="F582" s="4" t="str">
        <f t="shared" si="1"/>
        <v>500 &amp; Below</v>
      </c>
    </row>
    <row r="583" ht="15.75" customHeight="1">
      <c r="A583" s="4" t="s">
        <v>8</v>
      </c>
      <c r="B583" s="7">
        <v>45588.0</v>
      </c>
      <c r="C583" s="4" t="s">
        <v>100</v>
      </c>
      <c r="D583" s="4" t="s">
        <v>119</v>
      </c>
      <c r="E583" s="8">
        <v>300.0</v>
      </c>
      <c r="F583" s="4" t="str">
        <f t="shared" si="1"/>
        <v>500 &amp; Below</v>
      </c>
    </row>
    <row r="584" ht="15.75" customHeight="1">
      <c r="A584" s="4" t="s">
        <v>8</v>
      </c>
      <c r="B584" s="7">
        <v>45588.0</v>
      </c>
      <c r="C584" s="4" t="s">
        <v>100</v>
      </c>
      <c r="D584" s="4" t="s">
        <v>1436</v>
      </c>
      <c r="E584" s="8">
        <v>50.0</v>
      </c>
      <c r="F584" s="4" t="str">
        <f t="shared" si="1"/>
        <v>500 &amp; Below</v>
      </c>
    </row>
    <row r="585" ht="15.75" customHeight="1">
      <c r="A585" s="4" t="s">
        <v>8</v>
      </c>
      <c r="B585" s="7">
        <v>45589.0</v>
      </c>
      <c r="C585" s="4" t="s">
        <v>100</v>
      </c>
      <c r="D585" s="4" t="s">
        <v>39</v>
      </c>
      <c r="E585" s="8">
        <v>65.0</v>
      </c>
      <c r="F585" s="4" t="str">
        <f t="shared" si="1"/>
        <v>500 &amp; Below</v>
      </c>
    </row>
    <row r="586" ht="15.75" customHeight="1">
      <c r="A586" s="4" t="s">
        <v>8</v>
      </c>
      <c r="B586" s="7">
        <v>45591.0</v>
      </c>
      <c r="C586" s="4" t="s">
        <v>100</v>
      </c>
      <c r="D586" s="4" t="s">
        <v>1440</v>
      </c>
      <c r="E586" s="8">
        <v>200.0</v>
      </c>
      <c r="F586" s="4" t="str">
        <f t="shared" si="1"/>
        <v>500 &amp; Below</v>
      </c>
    </row>
    <row r="587" ht="15.75" customHeight="1">
      <c r="A587" s="4" t="s">
        <v>8</v>
      </c>
      <c r="B587" s="7">
        <v>45592.0</v>
      </c>
      <c r="C587" s="4" t="s">
        <v>100</v>
      </c>
      <c r="D587" s="4" t="s">
        <v>69</v>
      </c>
      <c r="E587" s="8">
        <v>199.0</v>
      </c>
      <c r="F587" s="4" t="str">
        <f t="shared" si="1"/>
        <v>500 &amp; Below</v>
      </c>
    </row>
    <row r="588" ht="15.75" customHeight="1">
      <c r="A588" s="4" t="s">
        <v>8</v>
      </c>
      <c r="B588" s="7">
        <v>45592.0</v>
      </c>
      <c r="C588" s="4" t="s">
        <v>100</v>
      </c>
      <c r="D588" s="4" t="s">
        <v>832</v>
      </c>
      <c r="E588" s="8">
        <v>299.0</v>
      </c>
      <c r="F588" s="4" t="str">
        <f t="shared" si="1"/>
        <v>500 &amp; Below</v>
      </c>
    </row>
    <row r="589" ht="15.75" customHeight="1">
      <c r="A589" s="4" t="s">
        <v>8</v>
      </c>
      <c r="B589" s="7">
        <v>45593.0</v>
      </c>
      <c r="C589" s="4" t="s">
        <v>100</v>
      </c>
      <c r="D589" s="4" t="s">
        <v>1448</v>
      </c>
      <c r="E589" s="8">
        <v>10.0</v>
      </c>
      <c r="F589" s="4" t="str">
        <f t="shared" si="1"/>
        <v>500 &amp; Below</v>
      </c>
    </row>
    <row r="590" ht="15.75" customHeight="1">
      <c r="A590" s="4" t="s">
        <v>8</v>
      </c>
      <c r="B590" s="7">
        <v>45594.0</v>
      </c>
      <c r="C590" s="4" t="s">
        <v>100</v>
      </c>
      <c r="D590" s="4" t="s">
        <v>1440</v>
      </c>
      <c r="E590" s="8">
        <v>160.0</v>
      </c>
      <c r="F590" s="4" t="str">
        <f t="shared" si="1"/>
        <v>500 &amp; Below</v>
      </c>
    </row>
    <row r="591" ht="15.75" customHeight="1">
      <c r="A591" s="4" t="s">
        <v>8</v>
      </c>
      <c r="B591" s="7">
        <v>45594.0</v>
      </c>
      <c r="C591" s="4" t="s">
        <v>100</v>
      </c>
      <c r="D591" s="4" t="s">
        <v>1453</v>
      </c>
      <c r="E591" s="8">
        <v>550.0</v>
      </c>
      <c r="F591" s="4" t="str">
        <f t="shared" si="1"/>
        <v>Above 500</v>
      </c>
    </row>
    <row r="592" ht="15.75" customHeight="1">
      <c r="A592" s="4" t="s">
        <v>8</v>
      </c>
      <c r="B592" s="7">
        <v>45594.0</v>
      </c>
      <c r="C592" s="4" t="s">
        <v>100</v>
      </c>
      <c r="D592" s="4" t="s">
        <v>632</v>
      </c>
      <c r="E592" s="8">
        <v>100.0</v>
      </c>
      <c r="F592" s="4" t="str">
        <f t="shared" si="1"/>
        <v>500 &amp; Below</v>
      </c>
    </row>
    <row r="593" ht="15.75" customHeight="1">
      <c r="A593" s="4" t="s">
        <v>8</v>
      </c>
      <c r="B593" s="7">
        <v>45594.0</v>
      </c>
      <c r="C593" s="4" t="s">
        <v>100</v>
      </c>
      <c r="D593" s="4" t="s">
        <v>18</v>
      </c>
      <c r="E593" s="8">
        <v>394.94</v>
      </c>
      <c r="F593" s="4" t="str">
        <f t="shared" si="1"/>
        <v>500 &amp; Below</v>
      </c>
    </row>
    <row r="594" ht="15.75" customHeight="1">
      <c r="A594" s="4" t="s">
        <v>8</v>
      </c>
      <c r="B594" s="7">
        <v>45595.0</v>
      </c>
      <c r="C594" s="4" t="s">
        <v>100</v>
      </c>
      <c r="D594" s="4" t="s">
        <v>124</v>
      </c>
      <c r="E594" s="8">
        <v>859.0</v>
      </c>
      <c r="F594" s="4" t="str">
        <f t="shared" si="1"/>
        <v>Above 500</v>
      </c>
    </row>
    <row r="595" ht="15.75" customHeight="1">
      <c r="A595" s="4" t="s">
        <v>8</v>
      </c>
      <c r="B595" s="7">
        <v>45595.0</v>
      </c>
      <c r="C595" s="4" t="s">
        <v>100</v>
      </c>
      <c r="D595" s="4" t="s">
        <v>1453</v>
      </c>
      <c r="E595" s="8">
        <v>300.0</v>
      </c>
      <c r="F595" s="4" t="str">
        <f t="shared" si="1"/>
        <v>500 &amp; Below</v>
      </c>
    </row>
    <row r="596" ht="15.75" customHeight="1">
      <c r="A596" s="4" t="s">
        <v>8</v>
      </c>
      <c r="B596" s="7">
        <v>45595.0</v>
      </c>
      <c r="C596" s="4" t="s">
        <v>100</v>
      </c>
      <c r="D596" s="4" t="s">
        <v>1459</v>
      </c>
      <c r="E596" s="8">
        <v>1500.0</v>
      </c>
      <c r="F596" s="4" t="str">
        <f t="shared" si="1"/>
        <v>Above 500</v>
      </c>
    </row>
    <row r="597" ht="15.75" customHeight="1">
      <c r="A597" s="4" t="s">
        <v>8</v>
      </c>
      <c r="B597" s="7">
        <v>45595.0</v>
      </c>
      <c r="C597" s="4" t="s">
        <v>100</v>
      </c>
      <c r="D597" s="4" t="s">
        <v>1463</v>
      </c>
      <c r="E597" s="8">
        <v>700.0</v>
      </c>
      <c r="F597" s="4" t="str">
        <f t="shared" si="1"/>
        <v>Above 500</v>
      </c>
    </row>
    <row r="598" ht="15.75" customHeight="1">
      <c r="A598" s="4" t="s">
        <v>8</v>
      </c>
      <c r="B598" s="7">
        <v>45595.0</v>
      </c>
      <c r="C598" s="4" t="s">
        <v>100</v>
      </c>
      <c r="D598" s="4" t="s">
        <v>1466</v>
      </c>
      <c r="E598" s="8">
        <v>80.0</v>
      </c>
      <c r="F598" s="4" t="str">
        <f t="shared" si="1"/>
        <v>500 &amp; Below</v>
      </c>
    </row>
    <row r="599" ht="15.75" customHeight="1">
      <c r="A599" s="4" t="s">
        <v>8</v>
      </c>
      <c r="B599" s="7">
        <v>45595.0</v>
      </c>
      <c r="C599" s="4" t="s">
        <v>100</v>
      </c>
      <c r="D599" s="4" t="s">
        <v>587</v>
      </c>
      <c r="E599" s="8">
        <v>270.0</v>
      </c>
      <c r="F599" s="4" t="str">
        <f t="shared" si="1"/>
        <v>500 &amp; Below</v>
      </c>
    </row>
    <row r="600" ht="15.75" customHeight="1">
      <c r="A600" s="4" t="s">
        <v>8</v>
      </c>
      <c r="B600" s="7">
        <v>45596.0</v>
      </c>
      <c r="C600" s="4" t="s">
        <v>100</v>
      </c>
      <c r="D600" s="4" t="s">
        <v>57</v>
      </c>
      <c r="E600" s="8">
        <v>10.0</v>
      </c>
      <c r="F600" s="4" t="str">
        <f t="shared" si="1"/>
        <v>500 &amp; Below</v>
      </c>
    </row>
    <row r="601" ht="15.75" customHeight="1">
      <c r="A601" s="4" t="s">
        <v>8</v>
      </c>
      <c r="B601" s="7">
        <v>45596.0</v>
      </c>
      <c r="C601" s="4" t="s">
        <v>100</v>
      </c>
      <c r="D601" s="4" t="s">
        <v>1365</v>
      </c>
      <c r="E601" s="8">
        <v>45.0</v>
      </c>
      <c r="F601" s="4" t="str">
        <f t="shared" si="1"/>
        <v>500 &amp; Below</v>
      </c>
    </row>
    <row r="602" ht="15.75" customHeight="1">
      <c r="A602" s="4" t="s">
        <v>8</v>
      </c>
      <c r="B602" s="7">
        <v>45597.0</v>
      </c>
      <c r="C602" s="4" t="s">
        <v>109</v>
      </c>
      <c r="D602" s="4" t="s">
        <v>39</v>
      </c>
      <c r="E602" s="8">
        <v>20.0</v>
      </c>
      <c r="F602" s="4" t="str">
        <f t="shared" si="1"/>
        <v>500 &amp; Below</v>
      </c>
    </row>
    <row r="603" ht="15.75" customHeight="1">
      <c r="A603" s="4" t="s">
        <v>8</v>
      </c>
      <c r="B603" s="7">
        <v>45597.0</v>
      </c>
      <c r="C603" s="4" t="s">
        <v>109</v>
      </c>
      <c r="D603" s="4" t="s">
        <v>194</v>
      </c>
      <c r="E603" s="8">
        <v>55.0</v>
      </c>
      <c r="F603" s="4" t="str">
        <f t="shared" si="1"/>
        <v>500 &amp; Below</v>
      </c>
    </row>
    <row r="604" ht="15.75" customHeight="1">
      <c r="A604" s="4" t="s">
        <v>8</v>
      </c>
      <c r="B604" s="7">
        <v>45597.0</v>
      </c>
      <c r="C604" s="4" t="s">
        <v>109</v>
      </c>
      <c r="D604" s="4" t="s">
        <v>194</v>
      </c>
      <c r="E604" s="8">
        <v>20.0</v>
      </c>
      <c r="F604" s="4" t="str">
        <f t="shared" si="1"/>
        <v>500 &amp; Below</v>
      </c>
    </row>
    <row r="605" ht="15.75" customHeight="1">
      <c r="A605" s="4" t="s">
        <v>8</v>
      </c>
      <c r="B605" s="7">
        <v>45597.0</v>
      </c>
      <c r="C605" s="4" t="s">
        <v>109</v>
      </c>
      <c r="D605" s="4" t="s">
        <v>139</v>
      </c>
      <c r="E605" s="8">
        <v>330.0</v>
      </c>
      <c r="F605" s="4" t="str">
        <f t="shared" si="1"/>
        <v>500 &amp; Below</v>
      </c>
    </row>
    <row r="606" ht="15.75" customHeight="1">
      <c r="A606" s="4" t="s">
        <v>8</v>
      </c>
      <c r="B606" s="7">
        <v>45598.0</v>
      </c>
      <c r="C606" s="4" t="s">
        <v>109</v>
      </c>
      <c r="D606" s="4" t="s">
        <v>27</v>
      </c>
      <c r="E606" s="8">
        <v>1800.0</v>
      </c>
      <c r="F606" s="4" t="str">
        <f t="shared" si="1"/>
        <v>Above 500</v>
      </c>
    </row>
    <row r="607" ht="15.75" customHeight="1">
      <c r="A607" s="4" t="s">
        <v>8</v>
      </c>
      <c r="B607" s="7">
        <v>45600.0</v>
      </c>
      <c r="C607" s="4" t="s">
        <v>109</v>
      </c>
      <c r="D607" s="4" t="s">
        <v>28</v>
      </c>
      <c r="E607" s="8">
        <v>500.0</v>
      </c>
      <c r="F607" s="4" t="str">
        <f t="shared" si="1"/>
        <v>500 &amp; Below</v>
      </c>
    </row>
    <row r="608" ht="15.75" customHeight="1">
      <c r="A608" s="4" t="s">
        <v>8</v>
      </c>
      <c r="B608" s="7">
        <v>45600.0</v>
      </c>
      <c r="C608" s="4" t="s">
        <v>109</v>
      </c>
      <c r="D608" s="4" t="s">
        <v>97</v>
      </c>
      <c r="E608" s="8">
        <v>330.0</v>
      </c>
      <c r="F608" s="4" t="str">
        <f t="shared" si="1"/>
        <v>500 &amp; Below</v>
      </c>
    </row>
    <row r="609" ht="15.75" customHeight="1">
      <c r="A609" s="4" t="s">
        <v>8</v>
      </c>
      <c r="B609" s="7">
        <v>45600.0</v>
      </c>
      <c r="C609" s="4" t="s">
        <v>109</v>
      </c>
      <c r="D609" s="4" t="s">
        <v>28</v>
      </c>
      <c r="E609" s="8">
        <v>249.0</v>
      </c>
      <c r="F609" s="4" t="str">
        <f t="shared" si="1"/>
        <v>500 &amp; Below</v>
      </c>
    </row>
    <row r="610" ht="15.75" customHeight="1">
      <c r="A610" s="4" t="s">
        <v>8</v>
      </c>
      <c r="B610" s="7">
        <v>45600.0</v>
      </c>
      <c r="C610" s="4" t="s">
        <v>109</v>
      </c>
      <c r="D610" s="4" t="s">
        <v>28</v>
      </c>
      <c r="E610" s="8">
        <v>25.0</v>
      </c>
      <c r="F610" s="4" t="str">
        <f t="shared" si="1"/>
        <v>500 &amp; Below</v>
      </c>
    </row>
    <row r="611" ht="15.75" customHeight="1">
      <c r="A611" s="4" t="s">
        <v>8</v>
      </c>
      <c r="B611" s="7">
        <v>45600.0</v>
      </c>
      <c r="C611" s="4" t="s">
        <v>109</v>
      </c>
      <c r="D611" s="4" t="s">
        <v>37</v>
      </c>
      <c r="E611" s="8">
        <v>319.0</v>
      </c>
      <c r="F611" s="4" t="str">
        <f t="shared" si="1"/>
        <v>500 &amp; Below</v>
      </c>
    </row>
    <row r="612" ht="15.75" customHeight="1">
      <c r="A612" s="4" t="s">
        <v>8</v>
      </c>
      <c r="B612" s="7">
        <v>45600.0</v>
      </c>
      <c r="C612" s="4" t="s">
        <v>109</v>
      </c>
      <c r="D612" s="4" t="s">
        <v>1497</v>
      </c>
      <c r="E612" s="8">
        <v>150.0</v>
      </c>
      <c r="F612" s="4" t="str">
        <f t="shared" si="1"/>
        <v>500 &amp; Below</v>
      </c>
    </row>
    <row r="613" ht="15.75" customHeight="1">
      <c r="A613" s="4" t="s">
        <v>8</v>
      </c>
      <c r="B613" s="7">
        <v>45601.0</v>
      </c>
      <c r="C613" s="4" t="s">
        <v>109</v>
      </c>
      <c r="D613" s="4" t="s">
        <v>1500</v>
      </c>
      <c r="E613" s="8">
        <v>675.0</v>
      </c>
      <c r="F613" s="4" t="str">
        <f t="shared" si="1"/>
        <v>Above 500</v>
      </c>
    </row>
    <row r="614" ht="15.75" customHeight="1">
      <c r="A614" s="4" t="s">
        <v>8</v>
      </c>
      <c r="B614" s="7">
        <v>45601.0</v>
      </c>
      <c r="C614" s="4" t="s">
        <v>109</v>
      </c>
      <c r="D614" s="4" t="s">
        <v>989</v>
      </c>
      <c r="E614" s="8">
        <v>850.0</v>
      </c>
      <c r="F614" s="4" t="str">
        <f t="shared" si="1"/>
        <v>Above 500</v>
      </c>
    </row>
    <row r="615" ht="15.75" customHeight="1">
      <c r="A615" s="4" t="s">
        <v>8</v>
      </c>
      <c r="B615" s="7">
        <v>45601.0</v>
      </c>
      <c r="C615" s="4" t="s">
        <v>109</v>
      </c>
      <c r="D615" s="4" t="s">
        <v>24</v>
      </c>
      <c r="E615" s="8">
        <v>20.0</v>
      </c>
      <c r="F615" s="4" t="str">
        <f t="shared" si="1"/>
        <v>500 &amp; Below</v>
      </c>
    </row>
    <row r="616" ht="15.75" customHeight="1">
      <c r="A616" s="4" t="s">
        <v>8</v>
      </c>
      <c r="B616" s="7">
        <v>45602.0</v>
      </c>
      <c r="C616" s="4" t="s">
        <v>109</v>
      </c>
      <c r="D616" s="4" t="s">
        <v>194</v>
      </c>
      <c r="E616" s="8">
        <v>10.0</v>
      </c>
      <c r="F616" s="4" t="str">
        <f t="shared" si="1"/>
        <v>500 &amp; Below</v>
      </c>
    </row>
    <row r="617" ht="15.75" customHeight="1">
      <c r="A617" s="4" t="s">
        <v>8</v>
      </c>
      <c r="B617" s="7">
        <v>45602.0</v>
      </c>
      <c r="C617" s="4" t="s">
        <v>109</v>
      </c>
      <c r="D617" s="4" t="s">
        <v>1506</v>
      </c>
      <c r="E617" s="8">
        <v>80.0</v>
      </c>
      <c r="F617" s="4" t="str">
        <f t="shared" si="1"/>
        <v>500 &amp; Below</v>
      </c>
    </row>
    <row r="618" ht="15.75" customHeight="1">
      <c r="A618" s="4" t="s">
        <v>8</v>
      </c>
      <c r="B618" s="7">
        <v>45602.0</v>
      </c>
      <c r="C618" s="4" t="s">
        <v>109</v>
      </c>
      <c r="D618" s="4" t="s">
        <v>1507</v>
      </c>
      <c r="E618" s="8">
        <v>70.0</v>
      </c>
      <c r="F618" s="4" t="str">
        <f t="shared" si="1"/>
        <v>500 &amp; Below</v>
      </c>
    </row>
    <row r="619" ht="15.75" customHeight="1">
      <c r="A619" s="4" t="s">
        <v>8</v>
      </c>
      <c r="B619" s="7">
        <v>45603.0</v>
      </c>
      <c r="C619" s="4" t="s">
        <v>109</v>
      </c>
      <c r="D619" s="4" t="s">
        <v>28</v>
      </c>
      <c r="E619" s="8">
        <v>500.0</v>
      </c>
      <c r="F619" s="4" t="str">
        <f t="shared" si="1"/>
        <v>500 &amp; Below</v>
      </c>
    </row>
    <row r="620" ht="15.75" customHeight="1">
      <c r="A620" s="4" t="s">
        <v>8</v>
      </c>
      <c r="B620" s="7">
        <v>45604.0</v>
      </c>
      <c r="C620" s="4" t="s">
        <v>109</v>
      </c>
      <c r="D620" s="4" t="s">
        <v>632</v>
      </c>
      <c r="E620" s="8">
        <v>250.0</v>
      </c>
      <c r="F620" s="4" t="str">
        <f t="shared" si="1"/>
        <v>500 &amp; Below</v>
      </c>
    </row>
    <row r="621" ht="15.75" customHeight="1">
      <c r="A621" s="4" t="s">
        <v>8</v>
      </c>
      <c r="B621" s="7">
        <v>45604.0</v>
      </c>
      <c r="C621" s="4" t="s">
        <v>109</v>
      </c>
      <c r="D621" s="4" t="s">
        <v>68</v>
      </c>
      <c r="E621" s="8">
        <v>20.0</v>
      </c>
      <c r="F621" s="4" t="str">
        <f t="shared" si="1"/>
        <v>500 &amp; Below</v>
      </c>
    </row>
    <row r="622" ht="15.75" customHeight="1">
      <c r="A622" s="4" t="s">
        <v>8</v>
      </c>
      <c r="B622" s="7">
        <v>45605.0</v>
      </c>
      <c r="C622" s="4" t="s">
        <v>109</v>
      </c>
      <c r="D622" s="4" t="s">
        <v>119</v>
      </c>
      <c r="E622" s="8">
        <v>40.0</v>
      </c>
      <c r="F622" s="4" t="str">
        <f t="shared" si="1"/>
        <v>500 &amp; Below</v>
      </c>
    </row>
    <row r="623" ht="15.75" customHeight="1">
      <c r="A623" s="4" t="s">
        <v>8</v>
      </c>
      <c r="B623" s="7">
        <v>45605.0</v>
      </c>
      <c r="C623" s="4" t="s">
        <v>109</v>
      </c>
      <c r="D623" s="4" t="s">
        <v>286</v>
      </c>
      <c r="E623" s="8">
        <v>100.0</v>
      </c>
      <c r="F623" s="4" t="str">
        <f t="shared" si="1"/>
        <v>500 &amp; Below</v>
      </c>
    </row>
    <row r="624" ht="15.75" customHeight="1">
      <c r="A624" s="4" t="s">
        <v>8</v>
      </c>
      <c r="B624" s="7">
        <v>45605.0</v>
      </c>
      <c r="C624" s="4" t="s">
        <v>109</v>
      </c>
      <c r="D624" s="4" t="s">
        <v>1517</v>
      </c>
      <c r="E624" s="8">
        <v>73.0</v>
      </c>
      <c r="F624" s="4" t="str">
        <f t="shared" si="1"/>
        <v>500 &amp; Below</v>
      </c>
    </row>
    <row r="625" ht="15.75" customHeight="1">
      <c r="A625" s="4" t="s">
        <v>8</v>
      </c>
      <c r="B625" s="7">
        <v>45605.0</v>
      </c>
      <c r="C625" s="4" t="s">
        <v>109</v>
      </c>
      <c r="D625" s="4" t="s">
        <v>1519</v>
      </c>
      <c r="E625" s="8">
        <v>100.0</v>
      </c>
      <c r="F625" s="4" t="str">
        <f t="shared" si="1"/>
        <v>500 &amp; Below</v>
      </c>
    </row>
    <row r="626" ht="15.75" customHeight="1">
      <c r="A626" s="4" t="s">
        <v>8</v>
      </c>
      <c r="B626" s="7">
        <v>45605.0</v>
      </c>
      <c r="C626" s="4" t="s">
        <v>109</v>
      </c>
      <c r="D626" s="4" t="s">
        <v>25</v>
      </c>
      <c r="E626" s="8">
        <v>15.0</v>
      </c>
      <c r="F626" s="4" t="str">
        <f t="shared" si="1"/>
        <v>500 &amp; Below</v>
      </c>
    </row>
    <row r="627" ht="15.75" customHeight="1">
      <c r="A627" s="4" t="s">
        <v>8</v>
      </c>
      <c r="B627" s="7">
        <v>45605.0</v>
      </c>
      <c r="C627" s="4" t="s">
        <v>109</v>
      </c>
      <c r="D627" s="4" t="s">
        <v>25</v>
      </c>
      <c r="E627" s="8">
        <v>94.5</v>
      </c>
      <c r="F627" s="4" t="str">
        <f t="shared" si="1"/>
        <v>500 &amp; Below</v>
      </c>
    </row>
    <row r="628" ht="15.75" customHeight="1">
      <c r="A628" s="4" t="s">
        <v>8</v>
      </c>
      <c r="B628" s="7">
        <v>45605.0</v>
      </c>
      <c r="C628" s="4" t="s">
        <v>109</v>
      </c>
      <c r="D628" s="4" t="s">
        <v>25</v>
      </c>
      <c r="E628" s="8">
        <v>108.0</v>
      </c>
      <c r="F628" s="4" t="str">
        <f t="shared" si="1"/>
        <v>500 &amp; Below</v>
      </c>
    </row>
    <row r="629" ht="15.75" customHeight="1">
      <c r="A629" s="4" t="s">
        <v>8</v>
      </c>
      <c r="B629" s="7">
        <v>45605.0</v>
      </c>
      <c r="C629" s="4" t="s">
        <v>109</v>
      </c>
      <c r="D629" s="4" t="s">
        <v>1533</v>
      </c>
      <c r="E629" s="8">
        <v>75.0</v>
      </c>
      <c r="F629" s="4" t="str">
        <f t="shared" si="1"/>
        <v>500 &amp; Below</v>
      </c>
    </row>
    <row r="630" ht="15.75" customHeight="1">
      <c r="A630" s="4" t="s">
        <v>8</v>
      </c>
      <c r="B630" s="7">
        <v>45605.0</v>
      </c>
      <c r="C630" s="4" t="s">
        <v>109</v>
      </c>
      <c r="D630" s="4" t="s">
        <v>1392</v>
      </c>
      <c r="E630" s="8">
        <v>230.0</v>
      </c>
      <c r="F630" s="4" t="str">
        <f t="shared" si="1"/>
        <v>500 &amp; Below</v>
      </c>
    </row>
    <row r="631" ht="15.75" customHeight="1">
      <c r="A631" s="4" t="s">
        <v>8</v>
      </c>
      <c r="B631" s="7">
        <v>45606.0</v>
      </c>
      <c r="C631" s="4" t="s">
        <v>109</v>
      </c>
      <c r="D631" s="4" t="s">
        <v>1563</v>
      </c>
      <c r="E631" s="8">
        <v>33.0</v>
      </c>
      <c r="F631" s="4" t="str">
        <f t="shared" si="1"/>
        <v>500 &amp; Below</v>
      </c>
    </row>
    <row r="632" ht="15.75" customHeight="1">
      <c r="A632" s="4" t="s">
        <v>8</v>
      </c>
      <c r="B632" s="7">
        <v>45606.0</v>
      </c>
      <c r="C632" s="4" t="s">
        <v>109</v>
      </c>
      <c r="D632" s="4" t="s">
        <v>119</v>
      </c>
      <c r="E632" s="8">
        <v>10.0</v>
      </c>
      <c r="F632" s="4" t="str">
        <f t="shared" si="1"/>
        <v>500 &amp; Below</v>
      </c>
    </row>
    <row r="633" ht="15.75" customHeight="1">
      <c r="A633" s="4" t="s">
        <v>8</v>
      </c>
      <c r="B633" s="7">
        <v>45606.0</v>
      </c>
      <c r="C633" s="4" t="s">
        <v>109</v>
      </c>
      <c r="D633" s="4" t="s">
        <v>68</v>
      </c>
      <c r="E633" s="8">
        <v>20.0</v>
      </c>
      <c r="F633" s="4" t="str">
        <f t="shared" si="1"/>
        <v>500 &amp; Below</v>
      </c>
    </row>
    <row r="634" ht="15.75" customHeight="1">
      <c r="A634" s="4" t="s">
        <v>8</v>
      </c>
      <c r="B634" s="7">
        <v>45607.0</v>
      </c>
      <c r="C634" s="4" t="s">
        <v>109</v>
      </c>
      <c r="D634" s="4" t="s">
        <v>18</v>
      </c>
      <c r="E634" s="8">
        <v>205.8</v>
      </c>
      <c r="F634" s="4" t="str">
        <f t="shared" si="1"/>
        <v>500 &amp; Below</v>
      </c>
    </row>
    <row r="635" ht="15.75" customHeight="1">
      <c r="A635" s="4" t="s">
        <v>8</v>
      </c>
      <c r="B635" s="7">
        <v>45607.0</v>
      </c>
      <c r="C635" s="4" t="s">
        <v>109</v>
      </c>
      <c r="D635" s="4" t="s">
        <v>108</v>
      </c>
      <c r="E635" s="8">
        <v>40.0</v>
      </c>
      <c r="F635" s="4" t="str">
        <f t="shared" si="1"/>
        <v>500 &amp; Below</v>
      </c>
    </row>
    <row r="636" ht="15.75" customHeight="1">
      <c r="A636" s="4" t="s">
        <v>8</v>
      </c>
      <c r="B636" s="7">
        <v>45607.0</v>
      </c>
      <c r="C636" s="4" t="s">
        <v>109</v>
      </c>
      <c r="D636" s="4" t="s">
        <v>36</v>
      </c>
      <c r="E636" s="8">
        <v>1940.0</v>
      </c>
      <c r="F636" s="4" t="str">
        <f t="shared" si="1"/>
        <v>Above 500</v>
      </c>
    </row>
    <row r="637" ht="15.75" customHeight="1">
      <c r="A637" s="4" t="s">
        <v>8</v>
      </c>
      <c r="B637" s="7">
        <v>45607.0</v>
      </c>
      <c r="C637" s="4" t="s">
        <v>109</v>
      </c>
      <c r="D637" s="4" t="s">
        <v>36</v>
      </c>
      <c r="E637" s="8">
        <v>1369.0</v>
      </c>
      <c r="F637" s="4" t="str">
        <f t="shared" si="1"/>
        <v>Above 500</v>
      </c>
    </row>
    <row r="638" ht="15.75" customHeight="1">
      <c r="A638" s="4" t="s">
        <v>8</v>
      </c>
      <c r="B638" s="7">
        <v>45608.0</v>
      </c>
      <c r="C638" s="4" t="s">
        <v>109</v>
      </c>
      <c r="D638" s="4" t="s">
        <v>1506</v>
      </c>
      <c r="E638" s="8">
        <v>180.0</v>
      </c>
      <c r="F638" s="4" t="str">
        <f t="shared" si="1"/>
        <v>500 &amp; Below</v>
      </c>
    </row>
    <row r="639" ht="15.75" customHeight="1">
      <c r="A639" s="4" t="s">
        <v>8</v>
      </c>
      <c r="B639" s="7">
        <v>45608.0</v>
      </c>
      <c r="C639" s="4" t="s">
        <v>109</v>
      </c>
      <c r="D639" s="4" t="s">
        <v>1597</v>
      </c>
      <c r="E639" s="8">
        <v>60.0</v>
      </c>
      <c r="F639" s="4" t="str">
        <f t="shared" si="1"/>
        <v>500 &amp; Below</v>
      </c>
    </row>
    <row r="640" ht="15.75" customHeight="1">
      <c r="A640" s="4" t="s">
        <v>8</v>
      </c>
      <c r="B640" s="7">
        <v>45609.0</v>
      </c>
      <c r="C640" s="4" t="s">
        <v>109</v>
      </c>
      <c r="D640" s="4" t="s">
        <v>36</v>
      </c>
      <c r="E640" s="8">
        <v>3396.0</v>
      </c>
      <c r="F640" s="4" t="str">
        <f t="shared" si="1"/>
        <v>Above 500</v>
      </c>
    </row>
    <row r="641" ht="15.75" customHeight="1">
      <c r="A641" s="4" t="s">
        <v>8</v>
      </c>
      <c r="B641" s="7">
        <v>45609.0</v>
      </c>
      <c r="C641" s="4" t="s">
        <v>109</v>
      </c>
      <c r="D641" s="4" t="s">
        <v>124</v>
      </c>
      <c r="E641" s="8">
        <v>509.0</v>
      </c>
      <c r="F641" s="4" t="str">
        <f t="shared" si="1"/>
        <v>Above 500</v>
      </c>
    </row>
    <row r="642" ht="15.75" customHeight="1">
      <c r="A642" s="4" t="s">
        <v>8</v>
      </c>
      <c r="B642" s="7">
        <v>45609.0</v>
      </c>
      <c r="C642" s="4" t="s">
        <v>109</v>
      </c>
      <c r="D642" s="4" t="s">
        <v>1340</v>
      </c>
      <c r="E642" s="8">
        <v>1271.0</v>
      </c>
      <c r="F642" s="4" t="str">
        <f t="shared" si="1"/>
        <v>Above 500</v>
      </c>
    </row>
    <row r="643" ht="15.75" customHeight="1">
      <c r="A643" s="4" t="s">
        <v>8</v>
      </c>
      <c r="B643" s="7">
        <v>45610.0</v>
      </c>
      <c r="C643" s="4" t="s">
        <v>109</v>
      </c>
      <c r="D643" s="4" t="s">
        <v>24</v>
      </c>
      <c r="E643" s="8">
        <v>30.0</v>
      </c>
      <c r="F643" s="4" t="str">
        <f t="shared" si="1"/>
        <v>500 &amp; Below</v>
      </c>
    </row>
    <row r="644" ht="15.75" customHeight="1">
      <c r="A644" s="4" t="s">
        <v>8</v>
      </c>
      <c r="B644" s="7">
        <v>45610.0</v>
      </c>
      <c r="C644" s="4" t="s">
        <v>109</v>
      </c>
      <c r="D644" s="4" t="s">
        <v>1625</v>
      </c>
      <c r="E644" s="8">
        <v>20.0</v>
      </c>
      <c r="F644" s="4" t="str">
        <f t="shared" si="1"/>
        <v>500 &amp; Below</v>
      </c>
    </row>
    <row r="645" ht="15.75" customHeight="1">
      <c r="A645" s="4" t="s">
        <v>8</v>
      </c>
      <c r="B645" s="7">
        <v>45610.0</v>
      </c>
      <c r="C645" s="4" t="s">
        <v>109</v>
      </c>
      <c r="D645" s="4" t="s">
        <v>989</v>
      </c>
      <c r="E645" s="8">
        <v>115.0</v>
      </c>
      <c r="F645" s="4" t="str">
        <f t="shared" si="1"/>
        <v>500 &amp; Below</v>
      </c>
    </row>
    <row r="646" ht="15.75" customHeight="1">
      <c r="A646" s="4" t="s">
        <v>8</v>
      </c>
      <c r="B646" s="7">
        <v>45610.0</v>
      </c>
      <c r="C646" s="4" t="s">
        <v>109</v>
      </c>
      <c r="D646" s="4" t="s">
        <v>108</v>
      </c>
      <c r="E646" s="8">
        <v>30.0</v>
      </c>
      <c r="F646" s="4" t="str">
        <f t="shared" si="1"/>
        <v>500 &amp; Below</v>
      </c>
    </row>
    <row r="647" ht="15.75" customHeight="1">
      <c r="A647" s="4" t="s">
        <v>8</v>
      </c>
      <c r="B647" s="7">
        <v>45610.0</v>
      </c>
      <c r="C647" s="4" t="s">
        <v>109</v>
      </c>
      <c r="D647" s="4" t="s">
        <v>18</v>
      </c>
      <c r="E647" s="8">
        <v>325.97</v>
      </c>
      <c r="F647" s="4" t="str">
        <f t="shared" si="1"/>
        <v>500 &amp; Below</v>
      </c>
    </row>
    <row r="648" ht="15.75" customHeight="1">
      <c r="A648" s="4" t="s">
        <v>8</v>
      </c>
      <c r="B648" s="7">
        <v>45610.0</v>
      </c>
      <c r="C648" s="4" t="s">
        <v>109</v>
      </c>
      <c r="D648" s="4" t="s">
        <v>1638</v>
      </c>
      <c r="E648" s="8">
        <v>200.0</v>
      </c>
      <c r="F648" s="4" t="str">
        <f t="shared" si="1"/>
        <v>500 &amp; Below</v>
      </c>
    </row>
    <row r="649" ht="15.75" customHeight="1">
      <c r="A649" s="4" t="s">
        <v>8</v>
      </c>
      <c r="B649" s="7">
        <v>45611.0</v>
      </c>
      <c r="C649" s="4" t="s">
        <v>109</v>
      </c>
      <c r="D649" s="4" t="s">
        <v>1644</v>
      </c>
      <c r="E649" s="8">
        <v>400.0</v>
      </c>
      <c r="F649" s="4" t="str">
        <f t="shared" si="1"/>
        <v>500 &amp; Below</v>
      </c>
    </row>
    <row r="650" ht="15.75" customHeight="1">
      <c r="A650" s="4" t="s">
        <v>8</v>
      </c>
      <c r="B650" s="7">
        <v>45613.0</v>
      </c>
      <c r="C650" s="4" t="s">
        <v>109</v>
      </c>
      <c r="D650" s="4" t="s">
        <v>18</v>
      </c>
      <c r="E650" s="8">
        <v>274.4</v>
      </c>
      <c r="F650" s="4" t="str">
        <f t="shared" si="1"/>
        <v>500 &amp; Below</v>
      </c>
    </row>
    <row r="651" ht="15.75" customHeight="1">
      <c r="A651" s="4" t="s">
        <v>8</v>
      </c>
      <c r="B651" s="7">
        <v>45614.0</v>
      </c>
      <c r="C651" s="4" t="s">
        <v>109</v>
      </c>
      <c r="D651" s="4" t="s">
        <v>18</v>
      </c>
      <c r="E651" s="8">
        <v>205.8</v>
      </c>
      <c r="F651" s="4" t="str">
        <f t="shared" si="1"/>
        <v>500 &amp; Below</v>
      </c>
    </row>
    <row r="652" ht="15.75" customHeight="1">
      <c r="A652" s="4" t="s">
        <v>8</v>
      </c>
      <c r="B652" s="7">
        <v>45614.0</v>
      </c>
      <c r="C652" s="4" t="s">
        <v>109</v>
      </c>
      <c r="D652" s="4" t="s">
        <v>286</v>
      </c>
      <c r="E652" s="8">
        <v>100.0</v>
      </c>
      <c r="F652" s="4" t="str">
        <f t="shared" si="1"/>
        <v>500 &amp; Below</v>
      </c>
    </row>
    <row r="653" ht="15.75" customHeight="1">
      <c r="A653" s="4" t="s">
        <v>8</v>
      </c>
      <c r="B653" s="7">
        <v>45614.0</v>
      </c>
      <c r="C653" s="4" t="s">
        <v>109</v>
      </c>
      <c r="D653" s="4" t="s">
        <v>73</v>
      </c>
      <c r="E653" s="8">
        <v>4000.0</v>
      </c>
      <c r="F653" s="4" t="str">
        <f t="shared" si="1"/>
        <v>Above 500</v>
      </c>
    </row>
    <row r="654" ht="15.75" customHeight="1">
      <c r="A654" s="4" t="s">
        <v>8</v>
      </c>
      <c r="B654" s="7">
        <v>45614.0</v>
      </c>
      <c r="C654" s="4" t="s">
        <v>109</v>
      </c>
      <c r="D654" s="4" t="s">
        <v>1261</v>
      </c>
      <c r="E654" s="8">
        <v>30.0</v>
      </c>
      <c r="F654" s="4" t="str">
        <f t="shared" si="1"/>
        <v>500 &amp; Below</v>
      </c>
    </row>
    <row r="655" ht="15.75" customHeight="1">
      <c r="A655" s="4" t="s">
        <v>8</v>
      </c>
      <c r="B655" s="7">
        <v>45614.0</v>
      </c>
      <c r="C655" s="4" t="s">
        <v>109</v>
      </c>
      <c r="D655" s="4" t="s">
        <v>41</v>
      </c>
      <c r="E655" s="8">
        <v>145.0</v>
      </c>
      <c r="F655" s="4" t="str">
        <f t="shared" si="1"/>
        <v>500 &amp; Below</v>
      </c>
    </row>
    <row r="656" ht="15.75" customHeight="1">
      <c r="A656" s="4" t="s">
        <v>8</v>
      </c>
      <c r="B656" s="7">
        <v>45614.0</v>
      </c>
      <c r="C656" s="4" t="s">
        <v>109</v>
      </c>
      <c r="D656" s="4" t="s">
        <v>1673</v>
      </c>
      <c r="E656" s="8">
        <v>500.0</v>
      </c>
      <c r="F656" s="4" t="str">
        <f t="shared" si="1"/>
        <v>500 &amp; Below</v>
      </c>
    </row>
    <row r="657" ht="15.75" customHeight="1">
      <c r="A657" s="4" t="s">
        <v>8</v>
      </c>
      <c r="B657" s="7">
        <v>45615.0</v>
      </c>
      <c r="C657" s="4" t="s">
        <v>109</v>
      </c>
      <c r="D657" s="4" t="s">
        <v>632</v>
      </c>
      <c r="E657" s="8">
        <v>600.0</v>
      </c>
      <c r="F657" s="4" t="str">
        <f t="shared" si="1"/>
        <v>Above 500</v>
      </c>
    </row>
    <row r="658" ht="15.75" customHeight="1">
      <c r="A658" s="4" t="s">
        <v>8</v>
      </c>
      <c r="B658" s="7">
        <v>45615.0</v>
      </c>
      <c r="C658" s="4" t="s">
        <v>109</v>
      </c>
      <c r="D658" s="4" t="s">
        <v>1693</v>
      </c>
      <c r="E658" s="8">
        <v>110.0</v>
      </c>
      <c r="F658" s="4" t="str">
        <f t="shared" si="1"/>
        <v>500 &amp; Below</v>
      </c>
    </row>
    <row r="659" ht="15.75" customHeight="1">
      <c r="A659" s="4" t="s">
        <v>8</v>
      </c>
      <c r="B659" s="7">
        <v>45615.0</v>
      </c>
      <c r="C659" s="4" t="s">
        <v>109</v>
      </c>
      <c r="D659" s="4" t="s">
        <v>1698</v>
      </c>
      <c r="E659" s="8">
        <v>828.0</v>
      </c>
      <c r="F659" s="4" t="str">
        <f t="shared" si="1"/>
        <v>Above 500</v>
      </c>
    </row>
    <row r="660" ht="15.75" customHeight="1">
      <c r="A660" s="4" t="s">
        <v>8</v>
      </c>
      <c r="B660" s="7">
        <v>45615.0</v>
      </c>
      <c r="C660" s="4" t="s">
        <v>109</v>
      </c>
      <c r="D660" s="4" t="s">
        <v>39</v>
      </c>
      <c r="E660" s="8">
        <v>30.0</v>
      </c>
      <c r="F660" s="4" t="str">
        <f t="shared" si="1"/>
        <v>500 &amp; Below</v>
      </c>
    </row>
    <row r="661" ht="15.75" customHeight="1">
      <c r="A661" s="4" t="s">
        <v>8</v>
      </c>
      <c r="B661" s="7">
        <v>45616.0</v>
      </c>
      <c r="C661" s="4" t="s">
        <v>109</v>
      </c>
      <c r="D661" s="4" t="s">
        <v>1705</v>
      </c>
      <c r="E661" s="8">
        <v>650.0</v>
      </c>
      <c r="F661" s="4" t="str">
        <f t="shared" si="1"/>
        <v>Above 500</v>
      </c>
    </row>
    <row r="662" ht="15.75" customHeight="1">
      <c r="A662" s="4" t="s">
        <v>8</v>
      </c>
      <c r="B662" s="7">
        <v>45616.0</v>
      </c>
      <c r="C662" s="4" t="s">
        <v>109</v>
      </c>
      <c r="D662" s="4" t="s">
        <v>1709</v>
      </c>
      <c r="E662" s="8">
        <v>6000.0</v>
      </c>
      <c r="F662" s="4" t="str">
        <f t="shared" si="1"/>
        <v>Above 500</v>
      </c>
    </row>
    <row r="663" ht="15.75" customHeight="1">
      <c r="A663" s="4" t="s">
        <v>8</v>
      </c>
      <c r="B663" s="7">
        <v>45616.0</v>
      </c>
      <c r="C663" s="4" t="s">
        <v>109</v>
      </c>
      <c r="D663" s="4" t="s">
        <v>1718</v>
      </c>
      <c r="E663" s="8">
        <v>1700.0</v>
      </c>
      <c r="F663" s="4" t="str">
        <f t="shared" si="1"/>
        <v>Above 500</v>
      </c>
    </row>
    <row r="664" ht="15.75" customHeight="1">
      <c r="A664" s="4" t="s">
        <v>8</v>
      </c>
      <c r="B664" s="7">
        <v>45616.0</v>
      </c>
      <c r="C664" s="4" t="s">
        <v>109</v>
      </c>
      <c r="D664" s="4" t="s">
        <v>1723</v>
      </c>
      <c r="E664" s="8">
        <v>2000.0</v>
      </c>
      <c r="F664" s="4" t="str">
        <f t="shared" si="1"/>
        <v>Above 500</v>
      </c>
    </row>
    <row r="665" ht="15.75" customHeight="1">
      <c r="A665" s="4" t="s">
        <v>8</v>
      </c>
      <c r="B665" s="7">
        <v>45616.0</v>
      </c>
      <c r="C665" s="4" t="s">
        <v>109</v>
      </c>
      <c r="D665" s="4" t="s">
        <v>117</v>
      </c>
      <c r="E665" s="8">
        <v>100.0</v>
      </c>
      <c r="F665" s="4" t="str">
        <f t="shared" si="1"/>
        <v>500 &amp; Below</v>
      </c>
    </row>
    <row r="666" ht="15.75" customHeight="1">
      <c r="A666" s="4" t="s">
        <v>8</v>
      </c>
      <c r="B666" s="7">
        <v>45616.0</v>
      </c>
      <c r="C666" s="4" t="s">
        <v>109</v>
      </c>
      <c r="D666" s="4" t="s">
        <v>1733</v>
      </c>
      <c r="E666" s="8">
        <v>150.0</v>
      </c>
      <c r="F666" s="4" t="str">
        <f t="shared" si="1"/>
        <v>500 &amp; Below</v>
      </c>
    </row>
    <row r="667" ht="15.75" customHeight="1">
      <c r="A667" s="4" t="s">
        <v>8</v>
      </c>
      <c r="B667" s="7">
        <v>45617.0</v>
      </c>
      <c r="C667" s="4" t="s">
        <v>109</v>
      </c>
      <c r="D667" s="4" t="s">
        <v>632</v>
      </c>
      <c r="E667" s="8">
        <v>300.0</v>
      </c>
      <c r="F667" s="4" t="str">
        <f t="shared" si="1"/>
        <v>500 &amp; Below</v>
      </c>
    </row>
    <row r="668" ht="15.75" customHeight="1">
      <c r="A668" s="4" t="s">
        <v>8</v>
      </c>
      <c r="B668" s="7">
        <v>45617.0</v>
      </c>
      <c r="C668" s="4" t="s">
        <v>109</v>
      </c>
      <c r="D668" s="4" t="s">
        <v>51</v>
      </c>
      <c r="E668" s="8">
        <v>20.0</v>
      </c>
      <c r="F668" s="4" t="str">
        <f t="shared" si="1"/>
        <v>500 &amp; Below</v>
      </c>
    </row>
    <row r="669" ht="15.75" customHeight="1">
      <c r="A669" s="4" t="s">
        <v>8</v>
      </c>
      <c r="B669" s="7">
        <v>45618.0</v>
      </c>
      <c r="C669" s="4" t="s">
        <v>109</v>
      </c>
      <c r="D669" s="4" t="s">
        <v>18</v>
      </c>
      <c r="E669" s="8">
        <v>195.3</v>
      </c>
      <c r="F669" s="4" t="str">
        <f t="shared" si="1"/>
        <v>500 &amp; Below</v>
      </c>
    </row>
    <row r="670" ht="15.75" customHeight="1">
      <c r="A670" s="4" t="s">
        <v>8</v>
      </c>
      <c r="B670" s="7">
        <v>45618.0</v>
      </c>
      <c r="C670" s="4" t="s">
        <v>109</v>
      </c>
      <c r="D670" s="4" t="s">
        <v>1453</v>
      </c>
      <c r="E670" s="8">
        <v>675.0</v>
      </c>
      <c r="F670" s="4" t="str">
        <f t="shared" si="1"/>
        <v>Above 500</v>
      </c>
    </row>
    <row r="671" ht="15.75" customHeight="1">
      <c r="A671" s="4" t="s">
        <v>8</v>
      </c>
      <c r="B671" s="7">
        <v>45618.0</v>
      </c>
      <c r="C671" s="4" t="s">
        <v>109</v>
      </c>
      <c r="D671" s="4" t="s">
        <v>1533</v>
      </c>
      <c r="E671" s="8">
        <v>20.0</v>
      </c>
      <c r="F671" s="4" t="str">
        <f t="shared" si="1"/>
        <v>500 &amp; Below</v>
      </c>
    </row>
    <row r="672" ht="15.75" customHeight="1">
      <c r="A672" s="4" t="s">
        <v>8</v>
      </c>
      <c r="B672" s="7">
        <v>45618.0</v>
      </c>
      <c r="C672" s="4" t="s">
        <v>109</v>
      </c>
      <c r="D672" s="4" t="s">
        <v>1752</v>
      </c>
      <c r="E672" s="8">
        <v>30500.0</v>
      </c>
      <c r="F672" s="4" t="str">
        <f t="shared" si="1"/>
        <v>Above 500</v>
      </c>
    </row>
    <row r="673" ht="15.75" customHeight="1">
      <c r="A673" s="4" t="s">
        <v>8</v>
      </c>
      <c r="B673" s="7">
        <v>45618.0</v>
      </c>
      <c r="C673" s="4" t="s">
        <v>109</v>
      </c>
      <c r="D673" s="4" t="s">
        <v>115</v>
      </c>
      <c r="E673" s="8">
        <v>80.0</v>
      </c>
      <c r="F673" s="4" t="str">
        <f t="shared" si="1"/>
        <v>500 &amp; Below</v>
      </c>
    </row>
    <row r="674" ht="15.75" customHeight="1">
      <c r="A674" s="4" t="s">
        <v>8</v>
      </c>
      <c r="B674" s="7">
        <v>45618.0</v>
      </c>
      <c r="C674" s="4" t="s">
        <v>109</v>
      </c>
      <c r="D674" s="4" t="s">
        <v>119</v>
      </c>
      <c r="E674" s="8">
        <v>10.0</v>
      </c>
      <c r="F674" s="4" t="str">
        <f t="shared" si="1"/>
        <v>500 &amp; Below</v>
      </c>
    </row>
    <row r="675" ht="15.75" customHeight="1">
      <c r="A675" s="4" t="s">
        <v>8</v>
      </c>
      <c r="B675" s="7">
        <v>45619.0</v>
      </c>
      <c r="C675" s="4" t="s">
        <v>109</v>
      </c>
      <c r="D675" s="4" t="s">
        <v>632</v>
      </c>
      <c r="E675" s="8">
        <v>300.0</v>
      </c>
      <c r="F675" s="4" t="str">
        <f t="shared" si="1"/>
        <v>500 &amp; Below</v>
      </c>
    </row>
    <row r="676" ht="15.75" customHeight="1">
      <c r="A676" s="4" t="s">
        <v>8</v>
      </c>
      <c r="B676" s="7">
        <v>45619.0</v>
      </c>
      <c r="C676" s="4" t="s">
        <v>109</v>
      </c>
      <c r="D676" s="4" t="s">
        <v>1754</v>
      </c>
      <c r="E676" s="8">
        <v>80.0</v>
      </c>
      <c r="F676" s="4" t="str">
        <f t="shared" si="1"/>
        <v>500 &amp; Below</v>
      </c>
    </row>
    <row r="677" ht="15.75" customHeight="1">
      <c r="A677" s="4" t="s">
        <v>8</v>
      </c>
      <c r="B677" s="7">
        <v>45620.0</v>
      </c>
      <c r="C677" s="4" t="s">
        <v>109</v>
      </c>
      <c r="D677" s="4" t="s">
        <v>124</v>
      </c>
      <c r="E677" s="8">
        <v>299.0</v>
      </c>
      <c r="F677" s="4" t="str">
        <f t="shared" si="1"/>
        <v>500 &amp; Below</v>
      </c>
    </row>
    <row r="678" ht="15.75" customHeight="1">
      <c r="A678" s="4" t="s">
        <v>8</v>
      </c>
      <c r="B678" s="7">
        <v>45620.0</v>
      </c>
      <c r="C678" s="4" t="s">
        <v>109</v>
      </c>
      <c r="D678" s="4" t="s">
        <v>1563</v>
      </c>
      <c r="E678" s="8">
        <v>30.0</v>
      </c>
      <c r="F678" s="4" t="str">
        <f t="shared" si="1"/>
        <v>500 &amp; Below</v>
      </c>
    </row>
    <row r="679" ht="15.75" customHeight="1">
      <c r="A679" s="4" t="s">
        <v>8</v>
      </c>
      <c r="B679" s="7">
        <v>45620.0</v>
      </c>
      <c r="C679" s="4" t="s">
        <v>109</v>
      </c>
      <c r="D679" s="4" t="s">
        <v>1767</v>
      </c>
      <c r="E679" s="8">
        <v>230.0</v>
      </c>
      <c r="F679" s="4" t="str">
        <f t="shared" si="1"/>
        <v>500 &amp; Below</v>
      </c>
    </row>
    <row r="680" ht="15.75" customHeight="1">
      <c r="A680" s="4" t="s">
        <v>8</v>
      </c>
      <c r="B680" s="7">
        <v>45620.0</v>
      </c>
      <c r="C680" s="4" t="s">
        <v>109</v>
      </c>
      <c r="D680" s="4" t="s">
        <v>117</v>
      </c>
      <c r="E680" s="8">
        <v>35.0</v>
      </c>
      <c r="F680" s="4" t="str">
        <f t="shared" si="1"/>
        <v>500 &amp; Below</v>
      </c>
    </row>
    <row r="681" ht="15.75" customHeight="1">
      <c r="A681" s="4" t="s">
        <v>8</v>
      </c>
      <c r="B681" s="7">
        <v>45621.0</v>
      </c>
      <c r="C681" s="4" t="s">
        <v>109</v>
      </c>
      <c r="D681" s="4" t="s">
        <v>1533</v>
      </c>
      <c r="E681" s="8">
        <v>25.0</v>
      </c>
      <c r="F681" s="4" t="str">
        <f t="shared" si="1"/>
        <v>500 &amp; Below</v>
      </c>
    </row>
    <row r="682" ht="15.75" customHeight="1">
      <c r="A682" s="4" t="s">
        <v>8</v>
      </c>
      <c r="B682" s="7">
        <v>45622.0</v>
      </c>
      <c r="C682" s="4" t="s">
        <v>109</v>
      </c>
      <c r="D682" s="4" t="s">
        <v>119</v>
      </c>
      <c r="E682" s="8">
        <v>20.0</v>
      </c>
      <c r="F682" s="4" t="str">
        <f t="shared" si="1"/>
        <v>500 &amp; Below</v>
      </c>
    </row>
    <row r="683" ht="15.75" customHeight="1">
      <c r="A683" s="4" t="s">
        <v>8</v>
      </c>
      <c r="B683" s="7">
        <v>45622.0</v>
      </c>
      <c r="C683" s="4" t="s">
        <v>109</v>
      </c>
      <c r="D683" s="4" t="s">
        <v>375</v>
      </c>
      <c r="E683" s="8">
        <v>199.0</v>
      </c>
      <c r="F683" s="4" t="str">
        <f t="shared" si="1"/>
        <v>500 &amp; Below</v>
      </c>
    </row>
    <row r="684" ht="15.75" customHeight="1">
      <c r="A684" s="4" t="s">
        <v>8</v>
      </c>
      <c r="B684" s="7">
        <v>45622.0</v>
      </c>
      <c r="C684" s="4" t="s">
        <v>109</v>
      </c>
      <c r="D684" s="4" t="s">
        <v>978</v>
      </c>
      <c r="E684" s="8">
        <v>250.0</v>
      </c>
      <c r="F684" s="4" t="str">
        <f t="shared" si="1"/>
        <v>500 &amp; Below</v>
      </c>
    </row>
    <row r="685" ht="15.75" customHeight="1">
      <c r="A685" s="4" t="s">
        <v>8</v>
      </c>
      <c r="B685" s="7">
        <v>45622.0</v>
      </c>
      <c r="C685" s="4" t="s">
        <v>109</v>
      </c>
      <c r="D685" s="4" t="s">
        <v>1533</v>
      </c>
      <c r="E685" s="8">
        <v>30.0</v>
      </c>
      <c r="F685" s="4" t="str">
        <f t="shared" si="1"/>
        <v>500 &amp; Below</v>
      </c>
    </row>
    <row r="686" ht="15.75" customHeight="1">
      <c r="A686" s="4" t="s">
        <v>8</v>
      </c>
      <c r="B686" s="7">
        <v>45622.0</v>
      </c>
      <c r="C686" s="4" t="s">
        <v>109</v>
      </c>
      <c r="D686" s="4" t="s">
        <v>1791</v>
      </c>
      <c r="E686" s="8">
        <v>75.0</v>
      </c>
      <c r="F686" s="4" t="str">
        <f t="shared" si="1"/>
        <v>500 &amp; Below</v>
      </c>
    </row>
    <row r="687" ht="15.75" customHeight="1">
      <c r="A687" s="4" t="s">
        <v>8</v>
      </c>
      <c r="B687" s="7">
        <v>45622.0</v>
      </c>
      <c r="C687" s="4" t="s">
        <v>109</v>
      </c>
      <c r="D687" s="4" t="s">
        <v>1797</v>
      </c>
      <c r="E687" s="8">
        <v>99.0</v>
      </c>
      <c r="F687" s="4" t="str">
        <f t="shared" si="1"/>
        <v>500 &amp; Below</v>
      </c>
    </row>
    <row r="688" ht="15.75" customHeight="1">
      <c r="A688" s="4" t="s">
        <v>8</v>
      </c>
      <c r="B688" s="7">
        <v>45623.0</v>
      </c>
      <c r="C688" s="4" t="s">
        <v>109</v>
      </c>
      <c r="D688" s="4" t="s">
        <v>39</v>
      </c>
      <c r="E688" s="8">
        <v>5.0</v>
      </c>
      <c r="F688" s="4" t="str">
        <f t="shared" si="1"/>
        <v>500 &amp; Below</v>
      </c>
    </row>
    <row r="689" ht="15.75" customHeight="1">
      <c r="A689" s="4" t="s">
        <v>8</v>
      </c>
      <c r="B689" s="7">
        <v>45623.0</v>
      </c>
      <c r="C689" s="4" t="s">
        <v>109</v>
      </c>
      <c r="D689" s="4" t="s">
        <v>56</v>
      </c>
      <c r="E689" s="8">
        <v>1299.0</v>
      </c>
      <c r="F689" s="4" t="str">
        <f t="shared" si="1"/>
        <v>Above 500</v>
      </c>
    </row>
    <row r="690" ht="15.75" customHeight="1">
      <c r="A690" s="4" t="s">
        <v>8</v>
      </c>
      <c r="B690" s="7">
        <v>45623.0</v>
      </c>
      <c r="C690" s="4" t="s">
        <v>109</v>
      </c>
      <c r="D690" s="4" t="s">
        <v>18</v>
      </c>
      <c r="E690" s="8">
        <v>139.75</v>
      </c>
      <c r="F690" s="4" t="str">
        <f t="shared" si="1"/>
        <v>500 &amp; Below</v>
      </c>
    </row>
    <row r="691" ht="15.75" customHeight="1">
      <c r="A691" s="4" t="s">
        <v>8</v>
      </c>
      <c r="B691" s="7">
        <v>45623.0</v>
      </c>
      <c r="C691" s="4" t="s">
        <v>109</v>
      </c>
      <c r="D691" s="4" t="s">
        <v>1563</v>
      </c>
      <c r="E691" s="8">
        <v>30.0</v>
      </c>
      <c r="F691" s="4" t="str">
        <f t="shared" si="1"/>
        <v>500 &amp; Below</v>
      </c>
    </row>
    <row r="692" ht="15.75" customHeight="1">
      <c r="A692" s="4" t="s">
        <v>8</v>
      </c>
      <c r="B692" s="7">
        <v>45623.0</v>
      </c>
      <c r="C692" s="4" t="s">
        <v>109</v>
      </c>
      <c r="D692" s="4" t="s">
        <v>103</v>
      </c>
      <c r="E692" s="8">
        <v>600.0</v>
      </c>
      <c r="F692" s="4" t="str">
        <f t="shared" si="1"/>
        <v>Above 500</v>
      </c>
    </row>
    <row r="693" ht="15.75" customHeight="1">
      <c r="A693" s="4" t="s">
        <v>8</v>
      </c>
      <c r="B693" s="7">
        <v>45623.0</v>
      </c>
      <c r="C693" s="4" t="s">
        <v>109</v>
      </c>
      <c r="D693" s="4" t="s">
        <v>18</v>
      </c>
      <c r="E693" s="8">
        <v>149.0</v>
      </c>
      <c r="F693" s="4" t="str">
        <f t="shared" si="1"/>
        <v>500 &amp; Below</v>
      </c>
    </row>
    <row r="694" ht="15.75" customHeight="1">
      <c r="A694" s="4" t="s">
        <v>8</v>
      </c>
      <c r="B694" s="7">
        <v>45623.0</v>
      </c>
      <c r="C694" s="4" t="s">
        <v>109</v>
      </c>
      <c r="D694" s="4" t="s">
        <v>45</v>
      </c>
      <c r="E694" s="8">
        <v>693.0</v>
      </c>
      <c r="F694" s="4" t="str">
        <f t="shared" si="1"/>
        <v>Above 500</v>
      </c>
    </row>
    <row r="695" ht="15.75" customHeight="1">
      <c r="A695" s="4" t="s">
        <v>8</v>
      </c>
      <c r="B695" s="7">
        <v>45624.0</v>
      </c>
      <c r="C695" s="4" t="s">
        <v>109</v>
      </c>
      <c r="D695" s="4" t="s">
        <v>1533</v>
      </c>
      <c r="E695" s="8">
        <v>25.0</v>
      </c>
      <c r="F695" s="4" t="str">
        <f t="shared" si="1"/>
        <v>500 &amp; Below</v>
      </c>
    </row>
    <row r="696" ht="15.75" customHeight="1">
      <c r="A696" s="4" t="s">
        <v>8</v>
      </c>
      <c r="B696" s="7">
        <v>45624.0</v>
      </c>
      <c r="C696" s="4" t="s">
        <v>109</v>
      </c>
      <c r="D696" s="4" t="s">
        <v>970</v>
      </c>
      <c r="E696" s="8">
        <v>30.0</v>
      </c>
      <c r="F696" s="4" t="str">
        <f t="shared" si="1"/>
        <v>500 &amp; Below</v>
      </c>
    </row>
    <row r="697" ht="15.75" customHeight="1">
      <c r="A697" s="4" t="s">
        <v>8</v>
      </c>
      <c r="B697" s="7">
        <v>45624.0</v>
      </c>
      <c r="C697" s="4" t="s">
        <v>109</v>
      </c>
      <c r="D697" s="4" t="s">
        <v>48</v>
      </c>
      <c r="E697" s="8">
        <v>492.0</v>
      </c>
      <c r="F697" s="4" t="str">
        <f t="shared" si="1"/>
        <v>500 &amp; Below</v>
      </c>
    </row>
    <row r="698" ht="15.75" customHeight="1">
      <c r="A698" s="4" t="s">
        <v>8</v>
      </c>
      <c r="B698" s="7">
        <v>45626.0</v>
      </c>
      <c r="C698" s="4" t="s">
        <v>109</v>
      </c>
      <c r="D698" s="4" t="s">
        <v>1407</v>
      </c>
      <c r="E698" s="8">
        <v>200.0</v>
      </c>
      <c r="F698" s="4" t="str">
        <f t="shared" si="1"/>
        <v>500 &amp; Below</v>
      </c>
    </row>
    <row r="699" ht="15.75" customHeight="1">
      <c r="A699" s="4" t="s">
        <v>8</v>
      </c>
      <c r="B699" s="7">
        <v>45626.0</v>
      </c>
      <c r="C699" s="4" t="s">
        <v>109</v>
      </c>
      <c r="D699" s="4" t="s">
        <v>27</v>
      </c>
      <c r="E699" s="8">
        <v>800.0</v>
      </c>
      <c r="F699" s="4" t="str">
        <f t="shared" si="1"/>
        <v>Above 500</v>
      </c>
    </row>
    <row r="700" ht="15.75" customHeight="1">
      <c r="A700" s="4" t="s">
        <v>8</v>
      </c>
      <c r="B700" s="7">
        <v>45626.0</v>
      </c>
      <c r="C700" s="4" t="s">
        <v>109</v>
      </c>
      <c r="D700" s="4" t="s">
        <v>97</v>
      </c>
      <c r="E700" s="8">
        <v>330.0</v>
      </c>
      <c r="F700" s="4" t="str">
        <f t="shared" si="1"/>
        <v>500 &amp; Below</v>
      </c>
    </row>
    <row r="701" ht="15.75" customHeight="1">
      <c r="A701" s="4" t="s">
        <v>8</v>
      </c>
      <c r="B701" s="7">
        <v>45626.0</v>
      </c>
      <c r="C701" s="4" t="s">
        <v>109</v>
      </c>
      <c r="D701" s="4" t="s">
        <v>39</v>
      </c>
      <c r="E701" s="8">
        <v>10.0</v>
      </c>
      <c r="F701" s="4" t="str">
        <f t="shared" si="1"/>
        <v>500 &amp; Below</v>
      </c>
    </row>
    <row r="702" ht="15.75" customHeight="1">
      <c r="A702" s="4" t="s">
        <v>8</v>
      </c>
      <c r="B702" s="7">
        <v>45627.0</v>
      </c>
      <c r="C702" s="4" t="s">
        <v>116</v>
      </c>
      <c r="D702" s="4" t="s">
        <v>632</v>
      </c>
      <c r="E702" s="8">
        <v>150.0</v>
      </c>
      <c r="F702" s="4" t="str">
        <f t="shared" si="1"/>
        <v>500 &amp; Below</v>
      </c>
    </row>
    <row r="703" ht="15.75" customHeight="1">
      <c r="A703" s="4" t="s">
        <v>8</v>
      </c>
      <c r="B703" s="7">
        <v>45627.0</v>
      </c>
      <c r="C703" s="4" t="s">
        <v>116</v>
      </c>
      <c r="D703" s="4" t="s">
        <v>115</v>
      </c>
      <c r="E703" s="8">
        <v>110.0</v>
      </c>
      <c r="F703" s="4" t="str">
        <f t="shared" si="1"/>
        <v>500 &amp; Below</v>
      </c>
    </row>
    <row r="704" ht="15.75" customHeight="1">
      <c r="A704" s="4" t="s">
        <v>8</v>
      </c>
      <c r="B704" s="7">
        <v>45628.0</v>
      </c>
      <c r="C704" s="4" t="s">
        <v>116</v>
      </c>
      <c r="D704" s="4" t="s">
        <v>956</v>
      </c>
      <c r="E704" s="8">
        <v>26.0</v>
      </c>
      <c r="F704" s="4" t="str">
        <f t="shared" si="1"/>
        <v>500 &amp; Below</v>
      </c>
    </row>
    <row r="705" ht="15.75" customHeight="1">
      <c r="A705" s="4" t="s">
        <v>8</v>
      </c>
      <c r="B705" s="7">
        <v>45628.0</v>
      </c>
      <c r="C705" s="4" t="s">
        <v>116</v>
      </c>
      <c r="D705" s="4" t="s">
        <v>27</v>
      </c>
      <c r="E705" s="8">
        <v>800.0</v>
      </c>
      <c r="F705" s="4" t="str">
        <f t="shared" si="1"/>
        <v>Above 500</v>
      </c>
    </row>
    <row r="706" ht="15.75" customHeight="1">
      <c r="A706" s="4" t="s">
        <v>8</v>
      </c>
      <c r="B706" s="7">
        <v>45628.0</v>
      </c>
      <c r="C706" s="4" t="s">
        <v>116</v>
      </c>
      <c r="D706" s="4" t="s">
        <v>532</v>
      </c>
      <c r="E706" s="8">
        <v>210.0</v>
      </c>
      <c r="F706" s="4" t="str">
        <f t="shared" si="1"/>
        <v>500 &amp; Below</v>
      </c>
    </row>
    <row r="707" ht="15.75" customHeight="1">
      <c r="A707" s="4" t="s">
        <v>8</v>
      </c>
      <c r="B707" s="7">
        <v>45629.0</v>
      </c>
      <c r="C707" s="4" t="s">
        <v>116</v>
      </c>
      <c r="D707" s="4" t="s">
        <v>928</v>
      </c>
      <c r="E707" s="8">
        <v>185.0</v>
      </c>
      <c r="F707" s="4" t="str">
        <f t="shared" si="1"/>
        <v>500 &amp; Below</v>
      </c>
    </row>
    <row r="708" ht="15.75" customHeight="1">
      <c r="A708" s="4" t="s">
        <v>8</v>
      </c>
      <c r="B708" s="7">
        <v>45629.0</v>
      </c>
      <c r="C708" s="4" t="s">
        <v>116</v>
      </c>
      <c r="D708" s="4" t="s">
        <v>1190</v>
      </c>
      <c r="E708" s="8">
        <v>240.0</v>
      </c>
      <c r="F708" s="4" t="str">
        <f t="shared" si="1"/>
        <v>500 &amp; Below</v>
      </c>
    </row>
    <row r="709" ht="15.75" customHeight="1">
      <c r="A709" s="4" t="s">
        <v>8</v>
      </c>
      <c r="B709" s="7">
        <v>45630.0</v>
      </c>
      <c r="C709" s="4" t="s">
        <v>116</v>
      </c>
      <c r="D709" s="4" t="s">
        <v>18</v>
      </c>
      <c r="E709" s="8">
        <v>260.7</v>
      </c>
      <c r="F709" s="4" t="str">
        <f t="shared" si="1"/>
        <v>500 &amp; Below</v>
      </c>
    </row>
    <row r="710" ht="15.75" customHeight="1">
      <c r="A710" s="4" t="s">
        <v>8</v>
      </c>
      <c r="B710" s="7">
        <v>45630.0</v>
      </c>
      <c r="C710" s="4" t="s">
        <v>116</v>
      </c>
      <c r="D710" s="4" t="s">
        <v>1864</v>
      </c>
      <c r="E710" s="8">
        <v>101.0</v>
      </c>
      <c r="F710" s="4" t="str">
        <f t="shared" si="1"/>
        <v>500 &amp; Below</v>
      </c>
    </row>
    <row r="711" ht="15.75" customHeight="1">
      <c r="A711" s="4" t="s">
        <v>8</v>
      </c>
      <c r="B711" s="7">
        <v>45630.0</v>
      </c>
      <c r="C711" s="4" t="s">
        <v>116</v>
      </c>
      <c r="D711" s="4" t="s">
        <v>45</v>
      </c>
      <c r="E711" s="8">
        <v>747.0</v>
      </c>
      <c r="F711" s="4" t="str">
        <f t="shared" si="1"/>
        <v>Above 500</v>
      </c>
    </row>
    <row r="712" ht="15.75" customHeight="1">
      <c r="A712" s="4" t="s">
        <v>8</v>
      </c>
      <c r="B712" s="7">
        <v>45631.0</v>
      </c>
      <c r="C712" s="4" t="s">
        <v>116</v>
      </c>
      <c r="D712" s="4" t="s">
        <v>1563</v>
      </c>
      <c r="E712" s="8">
        <v>23.0</v>
      </c>
      <c r="F712" s="4" t="str">
        <f t="shared" si="1"/>
        <v>500 &amp; Below</v>
      </c>
    </row>
    <row r="713" ht="15.75" customHeight="1">
      <c r="A713" s="4" t="s">
        <v>8</v>
      </c>
      <c r="B713" s="7">
        <v>45631.0</v>
      </c>
      <c r="C713" s="4" t="s">
        <v>116</v>
      </c>
      <c r="D713" s="4" t="s">
        <v>102</v>
      </c>
      <c r="E713" s="8">
        <v>100.0</v>
      </c>
      <c r="F713" s="4" t="str">
        <f t="shared" si="1"/>
        <v>500 &amp; Below</v>
      </c>
    </row>
    <row r="714" ht="15.75" customHeight="1">
      <c r="A714" s="4" t="s">
        <v>8</v>
      </c>
      <c r="B714" s="7">
        <v>45632.0</v>
      </c>
      <c r="C714" s="4" t="s">
        <v>116</v>
      </c>
      <c r="D714" s="4" t="s">
        <v>1261</v>
      </c>
      <c r="E714" s="8">
        <v>30.0</v>
      </c>
      <c r="F714" s="4" t="str">
        <f t="shared" si="1"/>
        <v>500 &amp; Below</v>
      </c>
    </row>
    <row r="715" ht="15.75" customHeight="1">
      <c r="A715" s="4" t="s">
        <v>8</v>
      </c>
      <c r="B715" s="7">
        <v>45632.0</v>
      </c>
      <c r="C715" s="4" t="s">
        <v>116</v>
      </c>
      <c r="D715" s="4" t="s">
        <v>282</v>
      </c>
      <c r="E715" s="8">
        <v>20.0</v>
      </c>
      <c r="F715" s="4" t="str">
        <f t="shared" si="1"/>
        <v>500 &amp; Below</v>
      </c>
    </row>
    <row r="716" ht="15.75" customHeight="1">
      <c r="A716" s="4" t="s">
        <v>8</v>
      </c>
      <c r="B716" s="7">
        <v>45632.0</v>
      </c>
      <c r="C716" s="4" t="s">
        <v>116</v>
      </c>
      <c r="D716" s="4" t="s">
        <v>282</v>
      </c>
      <c r="E716" s="8">
        <v>10.0</v>
      </c>
      <c r="F716" s="4" t="str">
        <f t="shared" si="1"/>
        <v>500 &amp; Below</v>
      </c>
    </row>
    <row r="717" ht="15.75" customHeight="1">
      <c r="A717" s="4" t="s">
        <v>8</v>
      </c>
      <c r="B717" s="7">
        <v>45633.0</v>
      </c>
      <c r="C717" s="4" t="s">
        <v>116</v>
      </c>
      <c r="D717" s="4" t="s">
        <v>928</v>
      </c>
      <c r="E717" s="8">
        <v>60.0</v>
      </c>
      <c r="F717" s="4" t="str">
        <f t="shared" si="1"/>
        <v>500 &amp; Below</v>
      </c>
    </row>
    <row r="718" ht="15.75" customHeight="1">
      <c r="A718" s="4" t="s">
        <v>8</v>
      </c>
      <c r="B718" s="7">
        <v>45633.0</v>
      </c>
      <c r="C718" s="4" t="s">
        <v>116</v>
      </c>
      <c r="D718" s="4" t="s">
        <v>119</v>
      </c>
      <c r="E718" s="8">
        <v>165.0</v>
      </c>
      <c r="F718" s="4" t="str">
        <f t="shared" si="1"/>
        <v>500 &amp; Below</v>
      </c>
    </row>
    <row r="719" ht="15.75" customHeight="1">
      <c r="A719" s="4" t="s">
        <v>8</v>
      </c>
      <c r="B719" s="7">
        <v>45633.0</v>
      </c>
      <c r="C719" s="4" t="s">
        <v>116</v>
      </c>
      <c r="D719" s="4" t="s">
        <v>18</v>
      </c>
      <c r="E719" s="8">
        <v>118.2</v>
      </c>
      <c r="F719" s="4" t="str">
        <f t="shared" si="1"/>
        <v>500 &amp; Below</v>
      </c>
    </row>
    <row r="720" ht="15.75" customHeight="1">
      <c r="A720" s="4" t="s">
        <v>8</v>
      </c>
      <c r="B720" s="7">
        <v>45633.0</v>
      </c>
      <c r="C720" s="4" t="s">
        <v>116</v>
      </c>
      <c r="D720" s="4" t="s">
        <v>39</v>
      </c>
      <c r="E720" s="8">
        <v>110.0</v>
      </c>
      <c r="F720" s="4" t="str">
        <f t="shared" si="1"/>
        <v>500 &amp; Below</v>
      </c>
    </row>
    <row r="721" ht="15.75" customHeight="1">
      <c r="A721" s="4" t="s">
        <v>8</v>
      </c>
      <c r="B721" s="7">
        <v>45634.0</v>
      </c>
      <c r="C721" s="4" t="s">
        <v>116</v>
      </c>
      <c r="D721" s="4" t="s">
        <v>277</v>
      </c>
      <c r="E721" s="8">
        <v>30.0</v>
      </c>
      <c r="F721" s="4" t="str">
        <f t="shared" si="1"/>
        <v>500 &amp; Below</v>
      </c>
    </row>
    <row r="722" ht="15.75" customHeight="1">
      <c r="A722" s="4" t="s">
        <v>8</v>
      </c>
      <c r="B722" s="7">
        <v>45635.0</v>
      </c>
      <c r="C722" s="4" t="s">
        <v>116</v>
      </c>
      <c r="D722" s="4" t="s">
        <v>632</v>
      </c>
      <c r="E722" s="8">
        <v>150.0</v>
      </c>
      <c r="F722" s="4" t="str">
        <f t="shared" si="1"/>
        <v>500 &amp; Below</v>
      </c>
    </row>
    <row r="723" ht="15.75" customHeight="1">
      <c r="A723" s="4" t="s">
        <v>8</v>
      </c>
      <c r="B723" s="7">
        <v>45635.0</v>
      </c>
      <c r="C723" s="4" t="s">
        <v>116</v>
      </c>
      <c r="D723" s="4" t="s">
        <v>1917</v>
      </c>
      <c r="E723" s="8">
        <v>20.0</v>
      </c>
      <c r="F723" s="4" t="str">
        <f t="shared" si="1"/>
        <v>500 &amp; Below</v>
      </c>
    </row>
    <row r="724" ht="15.75" customHeight="1">
      <c r="A724" s="4" t="s">
        <v>8</v>
      </c>
      <c r="B724" s="7">
        <v>45636.0</v>
      </c>
      <c r="C724" s="4" t="s">
        <v>116</v>
      </c>
      <c r="D724" s="4" t="s">
        <v>1919</v>
      </c>
      <c r="E724" s="8">
        <v>72.0</v>
      </c>
      <c r="F724" s="4" t="str">
        <f t="shared" si="1"/>
        <v>500 &amp; Below</v>
      </c>
    </row>
    <row r="725" ht="15.75" customHeight="1">
      <c r="A725" s="4" t="s">
        <v>8</v>
      </c>
      <c r="B725" s="7">
        <v>45637.0</v>
      </c>
      <c r="C725" s="4" t="s">
        <v>116</v>
      </c>
      <c r="D725" s="4" t="s">
        <v>1925</v>
      </c>
      <c r="E725" s="8">
        <v>80.0</v>
      </c>
      <c r="F725" s="4" t="str">
        <f t="shared" si="1"/>
        <v>500 &amp; Below</v>
      </c>
    </row>
    <row r="726" ht="15.75" customHeight="1">
      <c r="A726" s="4" t="s">
        <v>8</v>
      </c>
      <c r="B726" s="7">
        <v>45637.0</v>
      </c>
      <c r="C726" s="4" t="s">
        <v>116</v>
      </c>
      <c r="D726" s="4" t="s">
        <v>45</v>
      </c>
      <c r="E726" s="8">
        <v>624.0</v>
      </c>
      <c r="F726" s="4" t="str">
        <f t="shared" si="1"/>
        <v>Above 500</v>
      </c>
    </row>
    <row r="727" ht="15.75" customHeight="1">
      <c r="A727" s="4" t="s">
        <v>8</v>
      </c>
      <c r="B727" s="7">
        <v>45637.0</v>
      </c>
      <c r="C727" s="4" t="s">
        <v>116</v>
      </c>
      <c r="D727" s="4" t="s">
        <v>1933</v>
      </c>
      <c r="E727" s="8">
        <v>40.0</v>
      </c>
      <c r="F727" s="4" t="str">
        <f t="shared" si="1"/>
        <v>500 &amp; Below</v>
      </c>
    </row>
    <row r="728" ht="15.75" customHeight="1">
      <c r="A728" s="4" t="s">
        <v>8</v>
      </c>
      <c r="B728" s="7">
        <v>45638.0</v>
      </c>
      <c r="C728" s="4" t="s">
        <v>116</v>
      </c>
      <c r="D728" s="4" t="s">
        <v>36</v>
      </c>
      <c r="E728" s="8">
        <v>893.0</v>
      </c>
      <c r="F728" s="4" t="str">
        <f t="shared" si="1"/>
        <v>Above 500</v>
      </c>
    </row>
    <row r="729" ht="15.75" customHeight="1">
      <c r="A729" s="4" t="s">
        <v>8</v>
      </c>
      <c r="B729" s="7">
        <v>45638.0</v>
      </c>
      <c r="C729" s="4" t="s">
        <v>116</v>
      </c>
      <c r="D729" s="4" t="s">
        <v>36</v>
      </c>
      <c r="E729" s="8">
        <v>1356.0</v>
      </c>
      <c r="F729" s="4" t="str">
        <f t="shared" si="1"/>
        <v>Above 500</v>
      </c>
    </row>
    <row r="730" ht="15.75" customHeight="1">
      <c r="A730" s="4" t="s">
        <v>8</v>
      </c>
      <c r="B730" s="7">
        <v>45639.0</v>
      </c>
      <c r="C730" s="4" t="s">
        <v>116</v>
      </c>
      <c r="D730" s="4" t="s">
        <v>36</v>
      </c>
      <c r="E730" s="8">
        <v>2195.0</v>
      </c>
      <c r="F730" s="4" t="str">
        <f t="shared" si="1"/>
        <v>Above 500</v>
      </c>
    </row>
    <row r="731" ht="15.75" customHeight="1">
      <c r="A731" s="4" t="s">
        <v>8</v>
      </c>
      <c r="B731" s="7">
        <v>45639.0</v>
      </c>
      <c r="C731" s="4" t="s">
        <v>116</v>
      </c>
      <c r="D731" s="4" t="s">
        <v>1945</v>
      </c>
      <c r="E731" s="8">
        <v>1785.0</v>
      </c>
      <c r="F731" s="4" t="str">
        <f t="shared" si="1"/>
        <v>Above 500</v>
      </c>
    </row>
    <row r="732" ht="15.75" customHeight="1">
      <c r="A732" s="4" t="s">
        <v>8</v>
      </c>
      <c r="B732" s="7">
        <v>45639.0</v>
      </c>
      <c r="C732" s="4" t="s">
        <v>116</v>
      </c>
      <c r="D732" s="4" t="s">
        <v>1947</v>
      </c>
      <c r="E732" s="8">
        <v>850.0</v>
      </c>
      <c r="F732" s="4" t="str">
        <f t="shared" si="1"/>
        <v>Above 500</v>
      </c>
    </row>
    <row r="733" ht="15.75" customHeight="1">
      <c r="A733" s="4" t="s">
        <v>8</v>
      </c>
      <c r="B733" s="7">
        <v>45639.0</v>
      </c>
      <c r="C733" s="4" t="s">
        <v>116</v>
      </c>
      <c r="D733" s="4" t="s">
        <v>137</v>
      </c>
      <c r="E733" s="8">
        <v>72.0</v>
      </c>
      <c r="F733" s="4" t="str">
        <f t="shared" si="1"/>
        <v>500 &amp; Below</v>
      </c>
    </row>
    <row r="734" ht="15.75" customHeight="1">
      <c r="A734" s="4" t="s">
        <v>8</v>
      </c>
      <c r="B734" s="7">
        <v>45639.0</v>
      </c>
      <c r="C734" s="4" t="s">
        <v>116</v>
      </c>
      <c r="D734" s="4" t="s">
        <v>1953</v>
      </c>
      <c r="E734" s="8">
        <v>40.0</v>
      </c>
      <c r="F734" s="4" t="str">
        <f t="shared" si="1"/>
        <v>500 &amp; Below</v>
      </c>
    </row>
    <row r="735" ht="15.75" customHeight="1">
      <c r="A735" s="4" t="s">
        <v>8</v>
      </c>
      <c r="B735" s="7">
        <v>45639.0</v>
      </c>
      <c r="C735" s="4" t="s">
        <v>116</v>
      </c>
      <c r="D735" s="4" t="s">
        <v>1957</v>
      </c>
      <c r="E735" s="8">
        <v>50.0</v>
      </c>
      <c r="F735" s="4" t="str">
        <f t="shared" si="1"/>
        <v>500 &amp; Below</v>
      </c>
    </row>
    <row r="736" ht="15.75" customHeight="1">
      <c r="A736" s="4" t="s">
        <v>8</v>
      </c>
      <c r="B736" s="7">
        <v>45640.0</v>
      </c>
      <c r="C736" s="4" t="s">
        <v>116</v>
      </c>
      <c r="D736" s="4" t="s">
        <v>1925</v>
      </c>
      <c r="E736" s="8">
        <v>80.0</v>
      </c>
      <c r="F736" s="4" t="str">
        <f t="shared" si="1"/>
        <v>500 &amp; Below</v>
      </c>
    </row>
    <row r="737" ht="15.75" customHeight="1">
      <c r="A737" s="4" t="s">
        <v>8</v>
      </c>
      <c r="B737" s="7">
        <v>45640.0</v>
      </c>
      <c r="C737" s="4" t="s">
        <v>116</v>
      </c>
      <c r="D737" s="4" t="s">
        <v>25</v>
      </c>
      <c r="E737" s="8">
        <v>30.0</v>
      </c>
      <c r="F737" s="4" t="str">
        <f t="shared" si="1"/>
        <v>500 &amp; Below</v>
      </c>
    </row>
    <row r="738" ht="15.75" customHeight="1">
      <c r="A738" s="4" t="s">
        <v>8</v>
      </c>
      <c r="B738" s="7">
        <v>45640.0</v>
      </c>
      <c r="C738" s="4" t="s">
        <v>116</v>
      </c>
      <c r="D738" s="4" t="s">
        <v>1970</v>
      </c>
      <c r="E738" s="8">
        <v>200.0</v>
      </c>
      <c r="F738" s="4" t="str">
        <f t="shared" si="1"/>
        <v>500 &amp; Below</v>
      </c>
    </row>
    <row r="739" ht="15.75" customHeight="1">
      <c r="A739" s="4" t="s">
        <v>8</v>
      </c>
      <c r="B739" s="7">
        <v>45640.0</v>
      </c>
      <c r="C739" s="4" t="s">
        <v>116</v>
      </c>
      <c r="D739" s="4" t="s">
        <v>1974</v>
      </c>
      <c r="E739" s="8">
        <v>40.0</v>
      </c>
      <c r="F739" s="4" t="str">
        <f t="shared" si="1"/>
        <v>500 &amp; Below</v>
      </c>
    </row>
    <row r="740" ht="15.75" customHeight="1">
      <c r="A740" s="4" t="s">
        <v>8</v>
      </c>
      <c r="B740" s="7">
        <v>45640.0</v>
      </c>
      <c r="C740" s="4" t="s">
        <v>116</v>
      </c>
      <c r="D740" s="4" t="s">
        <v>78</v>
      </c>
      <c r="E740" s="8">
        <v>390.0</v>
      </c>
      <c r="F740" s="4" t="str">
        <f t="shared" si="1"/>
        <v>500 &amp; Below</v>
      </c>
    </row>
    <row r="741" ht="15.75" customHeight="1">
      <c r="A741" s="4" t="s">
        <v>8</v>
      </c>
      <c r="B741" s="7">
        <v>45641.0</v>
      </c>
      <c r="C741" s="4" t="s">
        <v>116</v>
      </c>
      <c r="D741" s="4" t="s">
        <v>1983</v>
      </c>
      <c r="E741" s="8">
        <v>5.0</v>
      </c>
      <c r="F741" s="4" t="str">
        <f t="shared" si="1"/>
        <v>500 &amp; Below</v>
      </c>
    </row>
    <row r="742" ht="15.75" customHeight="1">
      <c r="A742" s="4" t="s">
        <v>8</v>
      </c>
      <c r="B742" s="7">
        <v>45641.0</v>
      </c>
      <c r="C742" s="4" t="s">
        <v>116</v>
      </c>
      <c r="D742" s="4" t="s">
        <v>1988</v>
      </c>
      <c r="E742" s="8">
        <v>360.0</v>
      </c>
      <c r="F742" s="4" t="str">
        <f t="shared" si="1"/>
        <v>500 &amp; Below</v>
      </c>
    </row>
    <row r="743" ht="15.75" customHeight="1">
      <c r="A743" s="4" t="s">
        <v>8</v>
      </c>
      <c r="B743" s="7">
        <v>45641.0</v>
      </c>
      <c r="C743" s="4" t="s">
        <v>116</v>
      </c>
      <c r="D743" s="4" t="s">
        <v>1988</v>
      </c>
      <c r="E743" s="8">
        <v>150.0</v>
      </c>
      <c r="F743" s="4" t="str">
        <f t="shared" si="1"/>
        <v>500 &amp; Below</v>
      </c>
    </row>
    <row r="744" ht="15.75" customHeight="1">
      <c r="A744" s="4" t="s">
        <v>8</v>
      </c>
      <c r="B744" s="7">
        <v>45641.0</v>
      </c>
      <c r="C744" s="4" t="s">
        <v>116</v>
      </c>
      <c r="D744" s="4" t="s">
        <v>70</v>
      </c>
      <c r="E744" s="8">
        <v>1113.0</v>
      </c>
      <c r="F744" s="4" t="str">
        <f t="shared" si="1"/>
        <v>Above 500</v>
      </c>
    </row>
    <row r="745" ht="15.75" customHeight="1">
      <c r="A745" s="4" t="s">
        <v>8</v>
      </c>
      <c r="B745" s="7">
        <v>45642.0</v>
      </c>
      <c r="C745" s="4" t="s">
        <v>116</v>
      </c>
      <c r="D745" s="4" t="s">
        <v>2000</v>
      </c>
      <c r="E745" s="8">
        <v>10.0</v>
      </c>
      <c r="F745" s="4" t="str">
        <f t="shared" si="1"/>
        <v>500 &amp; Below</v>
      </c>
    </row>
    <row r="746" ht="15.75" customHeight="1">
      <c r="A746" s="4" t="s">
        <v>8</v>
      </c>
      <c r="B746" s="7">
        <v>45642.0</v>
      </c>
      <c r="C746" s="4" t="s">
        <v>116</v>
      </c>
      <c r="D746" s="4" t="s">
        <v>39</v>
      </c>
      <c r="E746" s="8">
        <v>55.0</v>
      </c>
      <c r="F746" s="4" t="str">
        <f t="shared" si="1"/>
        <v>500 &amp; Below</v>
      </c>
    </row>
    <row r="747" ht="15.75" customHeight="1">
      <c r="A747" s="4" t="s">
        <v>8</v>
      </c>
      <c r="B747" s="7">
        <v>45642.0</v>
      </c>
      <c r="C747" s="4" t="s">
        <v>116</v>
      </c>
      <c r="D747" s="4" t="s">
        <v>1392</v>
      </c>
      <c r="E747" s="8">
        <v>16.0</v>
      </c>
      <c r="F747" s="4" t="str">
        <f t="shared" si="1"/>
        <v>500 &amp; Below</v>
      </c>
    </row>
    <row r="748" ht="15.75" customHeight="1">
      <c r="A748" s="4" t="s">
        <v>8</v>
      </c>
      <c r="B748" s="7">
        <v>45642.0</v>
      </c>
      <c r="C748" s="4" t="s">
        <v>116</v>
      </c>
      <c r="D748" s="4" t="s">
        <v>41</v>
      </c>
      <c r="E748" s="8">
        <v>145.0</v>
      </c>
      <c r="F748" s="4" t="str">
        <f t="shared" si="1"/>
        <v>500 &amp; Below</v>
      </c>
    </row>
    <row r="749" ht="15.75" customHeight="1">
      <c r="A749" s="4" t="s">
        <v>8</v>
      </c>
      <c r="B749" s="7">
        <v>45642.0</v>
      </c>
      <c r="C749" s="4" t="s">
        <v>116</v>
      </c>
      <c r="D749" s="4" t="s">
        <v>632</v>
      </c>
      <c r="E749" s="8">
        <v>225.0</v>
      </c>
      <c r="F749" s="4" t="str">
        <f t="shared" si="1"/>
        <v>500 &amp; Below</v>
      </c>
    </row>
    <row r="750" ht="15.75" customHeight="1">
      <c r="A750" s="4" t="s">
        <v>8</v>
      </c>
      <c r="B750" s="7">
        <v>45643.0</v>
      </c>
      <c r="C750" s="4" t="s">
        <v>116</v>
      </c>
      <c r="D750" s="4" t="s">
        <v>282</v>
      </c>
      <c r="E750" s="8">
        <v>40.0</v>
      </c>
      <c r="F750" s="4" t="str">
        <f t="shared" si="1"/>
        <v>500 &amp; Below</v>
      </c>
    </row>
    <row r="751" ht="15.75" customHeight="1">
      <c r="A751" s="4" t="s">
        <v>8</v>
      </c>
      <c r="B751" s="7">
        <v>45643.0</v>
      </c>
      <c r="C751" s="4" t="s">
        <v>116</v>
      </c>
      <c r="D751" s="4" t="s">
        <v>1919</v>
      </c>
      <c r="E751" s="8">
        <v>100.0</v>
      </c>
      <c r="F751" s="4" t="str">
        <f t="shared" si="1"/>
        <v>500 &amp; Below</v>
      </c>
    </row>
    <row r="752" ht="15.75" customHeight="1">
      <c r="A752" s="4" t="s">
        <v>8</v>
      </c>
      <c r="B752" s="7">
        <v>45643.0</v>
      </c>
      <c r="C752" s="4" t="s">
        <v>116</v>
      </c>
      <c r="D752" s="4" t="s">
        <v>590</v>
      </c>
      <c r="E752" s="8">
        <v>360.0</v>
      </c>
      <c r="F752" s="4" t="str">
        <f t="shared" si="1"/>
        <v>500 &amp; Below</v>
      </c>
    </row>
    <row r="753" ht="15.75" customHeight="1">
      <c r="A753" s="4" t="s">
        <v>8</v>
      </c>
      <c r="B753" s="7">
        <v>45643.0</v>
      </c>
      <c r="C753" s="4" t="s">
        <v>116</v>
      </c>
      <c r="D753" s="4" t="s">
        <v>103</v>
      </c>
      <c r="E753" s="8">
        <v>170.0</v>
      </c>
      <c r="F753" s="4" t="str">
        <f t="shared" si="1"/>
        <v>500 &amp; Below</v>
      </c>
    </row>
    <row r="754" ht="15.75" customHeight="1">
      <c r="A754" s="4" t="s">
        <v>8</v>
      </c>
      <c r="B754" s="7">
        <v>45644.0</v>
      </c>
      <c r="C754" s="4" t="s">
        <v>116</v>
      </c>
      <c r="D754" s="4" t="s">
        <v>18</v>
      </c>
      <c r="E754" s="8">
        <v>65.7</v>
      </c>
      <c r="F754" s="4" t="str">
        <f t="shared" si="1"/>
        <v>500 &amp; Below</v>
      </c>
    </row>
    <row r="755" ht="15.75" customHeight="1">
      <c r="A755" s="4" t="s">
        <v>8</v>
      </c>
      <c r="B755" s="7">
        <v>45644.0</v>
      </c>
      <c r="C755" s="4" t="s">
        <v>116</v>
      </c>
      <c r="D755" s="4" t="s">
        <v>1563</v>
      </c>
      <c r="E755" s="8">
        <v>170.0</v>
      </c>
      <c r="F755" s="4" t="str">
        <f t="shared" si="1"/>
        <v>500 &amp; Below</v>
      </c>
    </row>
    <row r="756" ht="15.75" customHeight="1">
      <c r="A756" s="4" t="s">
        <v>8</v>
      </c>
      <c r="B756" s="7">
        <v>45644.0</v>
      </c>
      <c r="C756" s="4" t="s">
        <v>116</v>
      </c>
      <c r="D756" s="4" t="s">
        <v>119</v>
      </c>
      <c r="E756" s="8">
        <v>183.0</v>
      </c>
      <c r="F756" s="4" t="str">
        <f t="shared" si="1"/>
        <v>500 &amp; Below</v>
      </c>
    </row>
    <row r="757" ht="15.75" customHeight="1">
      <c r="A757" s="4" t="s">
        <v>8</v>
      </c>
      <c r="B757" s="7">
        <v>45646.0</v>
      </c>
      <c r="C757" s="4" t="s">
        <v>116</v>
      </c>
      <c r="D757" s="4" t="s">
        <v>28</v>
      </c>
      <c r="E757" s="8">
        <v>500.0</v>
      </c>
      <c r="F757" s="4" t="str">
        <f t="shared" si="1"/>
        <v>500 &amp; Below</v>
      </c>
    </row>
    <row r="758" ht="15.75" customHeight="1">
      <c r="A758" s="4" t="s">
        <v>8</v>
      </c>
      <c r="B758" s="7">
        <v>45646.0</v>
      </c>
      <c r="C758" s="4" t="s">
        <v>116</v>
      </c>
      <c r="D758" s="4" t="s">
        <v>748</v>
      </c>
      <c r="E758" s="8">
        <v>64.0</v>
      </c>
      <c r="F758" s="4" t="str">
        <f t="shared" si="1"/>
        <v>500 &amp; Below</v>
      </c>
    </row>
    <row r="759" ht="15.75" customHeight="1">
      <c r="A759" s="4" t="s">
        <v>8</v>
      </c>
      <c r="B759" s="7">
        <v>45646.0</v>
      </c>
      <c r="C759" s="4" t="s">
        <v>116</v>
      </c>
      <c r="D759" s="4" t="s">
        <v>2034</v>
      </c>
      <c r="E759" s="8">
        <v>63.0</v>
      </c>
      <c r="F759" s="4" t="str">
        <f t="shared" si="1"/>
        <v>500 &amp; Below</v>
      </c>
    </row>
    <row r="760" ht="15.75" customHeight="1">
      <c r="A760" s="4" t="s">
        <v>8</v>
      </c>
      <c r="B760" s="7">
        <v>45646.0</v>
      </c>
      <c r="C760" s="4" t="s">
        <v>116</v>
      </c>
      <c r="D760" s="4" t="s">
        <v>2040</v>
      </c>
      <c r="E760" s="8">
        <v>200.0</v>
      </c>
      <c r="F760" s="4" t="str">
        <f t="shared" si="1"/>
        <v>500 &amp; Below</v>
      </c>
    </row>
    <row r="761" ht="15.75" customHeight="1">
      <c r="A761" s="4" t="s">
        <v>8</v>
      </c>
      <c r="B761" s="7">
        <v>45647.0</v>
      </c>
      <c r="C761" s="4" t="s">
        <v>116</v>
      </c>
      <c r="D761" s="4" t="s">
        <v>77</v>
      </c>
      <c r="E761" s="8">
        <v>411.92</v>
      </c>
      <c r="F761" s="4" t="str">
        <f t="shared" si="1"/>
        <v>500 &amp; Below</v>
      </c>
    </row>
    <row r="762" ht="15.75" customHeight="1">
      <c r="A762" s="4" t="s">
        <v>8</v>
      </c>
      <c r="B762" s="7">
        <v>45648.0</v>
      </c>
      <c r="C762" s="4" t="s">
        <v>116</v>
      </c>
      <c r="D762" s="4" t="s">
        <v>124</v>
      </c>
      <c r="E762" s="8">
        <v>299.0</v>
      </c>
      <c r="F762" s="4" t="str">
        <f t="shared" si="1"/>
        <v>500 &amp; Below</v>
      </c>
    </row>
    <row r="763" ht="15.75" customHeight="1">
      <c r="A763" s="4" t="s">
        <v>8</v>
      </c>
      <c r="B763" s="7">
        <v>45648.0</v>
      </c>
      <c r="C763" s="4" t="s">
        <v>116</v>
      </c>
      <c r="D763" s="4" t="s">
        <v>2048</v>
      </c>
      <c r="E763" s="8">
        <v>170.0</v>
      </c>
      <c r="F763" s="4" t="str">
        <f t="shared" si="1"/>
        <v>500 &amp; Below</v>
      </c>
    </row>
    <row r="764" ht="15.75" customHeight="1">
      <c r="A764" s="4" t="s">
        <v>8</v>
      </c>
      <c r="B764" s="7">
        <v>45648.0</v>
      </c>
      <c r="C764" s="4" t="s">
        <v>116</v>
      </c>
      <c r="D764" s="4" t="s">
        <v>989</v>
      </c>
      <c r="E764" s="8">
        <v>420.0</v>
      </c>
      <c r="F764" s="4" t="str">
        <f t="shared" si="1"/>
        <v>500 &amp; Below</v>
      </c>
    </row>
    <row r="765" ht="15.75" customHeight="1">
      <c r="A765" s="4" t="s">
        <v>8</v>
      </c>
      <c r="B765" s="7">
        <v>45649.0</v>
      </c>
      <c r="C765" s="4" t="s">
        <v>116</v>
      </c>
      <c r="D765" s="4" t="s">
        <v>2055</v>
      </c>
      <c r="E765" s="8">
        <v>90.0</v>
      </c>
      <c r="F765" s="4" t="str">
        <f t="shared" si="1"/>
        <v>500 &amp; Below</v>
      </c>
    </row>
    <row r="766" ht="15.75" customHeight="1">
      <c r="A766" s="4" t="s">
        <v>8</v>
      </c>
      <c r="B766" s="7">
        <v>45650.0</v>
      </c>
      <c r="C766" s="4" t="s">
        <v>116</v>
      </c>
      <c r="D766" s="4" t="s">
        <v>119</v>
      </c>
      <c r="E766" s="8">
        <v>25.0</v>
      </c>
      <c r="F766" s="4" t="str">
        <f t="shared" si="1"/>
        <v>500 &amp; Below</v>
      </c>
    </row>
    <row r="767" ht="15.75" customHeight="1">
      <c r="A767" s="4" t="s">
        <v>8</v>
      </c>
      <c r="B767" s="7">
        <v>45650.0</v>
      </c>
      <c r="C767" s="4" t="s">
        <v>116</v>
      </c>
      <c r="D767" s="4" t="s">
        <v>2063</v>
      </c>
      <c r="E767" s="8">
        <v>55.0</v>
      </c>
      <c r="F767" s="4" t="str">
        <f t="shared" si="1"/>
        <v>500 &amp; Below</v>
      </c>
    </row>
    <row r="768" ht="15.75" customHeight="1">
      <c r="A768" s="4" t="s">
        <v>8</v>
      </c>
      <c r="B768" s="7">
        <v>45651.0</v>
      </c>
      <c r="C768" s="4" t="s">
        <v>116</v>
      </c>
      <c r="D768" s="4" t="s">
        <v>41</v>
      </c>
      <c r="E768" s="8">
        <v>199.0</v>
      </c>
      <c r="F768" s="4" t="str">
        <f t="shared" si="1"/>
        <v>500 &amp; Below</v>
      </c>
    </row>
    <row r="769" ht="15.75" customHeight="1">
      <c r="A769" s="4" t="s">
        <v>8</v>
      </c>
      <c r="B769" s="7">
        <v>45651.0</v>
      </c>
      <c r="C769" s="4" t="s">
        <v>116</v>
      </c>
      <c r="D769" s="4" t="s">
        <v>119</v>
      </c>
      <c r="E769" s="8">
        <v>26.0</v>
      </c>
      <c r="F769" s="4" t="str">
        <f t="shared" si="1"/>
        <v>500 &amp; Below</v>
      </c>
    </row>
    <row r="770" ht="15.75" customHeight="1">
      <c r="A770" s="4" t="s">
        <v>8</v>
      </c>
      <c r="B770" s="7">
        <v>45652.0</v>
      </c>
      <c r="C770" s="4" t="s">
        <v>116</v>
      </c>
      <c r="D770" s="4" t="s">
        <v>32</v>
      </c>
      <c r="E770" s="8">
        <v>22.0</v>
      </c>
      <c r="F770" s="4" t="str">
        <f t="shared" si="1"/>
        <v>500 &amp; Below</v>
      </c>
    </row>
    <row r="771" ht="15.75" customHeight="1">
      <c r="A771" s="4" t="s">
        <v>8</v>
      </c>
      <c r="B771" s="7">
        <v>45652.0</v>
      </c>
      <c r="C771" s="4" t="s">
        <v>116</v>
      </c>
      <c r="D771" s="4" t="s">
        <v>2055</v>
      </c>
      <c r="E771" s="8">
        <v>50.0</v>
      </c>
      <c r="F771" s="4" t="str">
        <f t="shared" si="1"/>
        <v>500 &amp; Below</v>
      </c>
    </row>
    <row r="772" ht="15.75" customHeight="1">
      <c r="A772" s="4" t="s">
        <v>8</v>
      </c>
      <c r="B772" s="7">
        <v>45652.0</v>
      </c>
      <c r="C772" s="4" t="s">
        <v>116</v>
      </c>
      <c r="D772" s="4" t="s">
        <v>18</v>
      </c>
      <c r="E772" s="8">
        <v>274.48</v>
      </c>
      <c r="F772" s="4" t="str">
        <f t="shared" si="1"/>
        <v>500 &amp; Below</v>
      </c>
    </row>
    <row r="773" ht="15.75" customHeight="1">
      <c r="A773" s="4" t="s">
        <v>8</v>
      </c>
      <c r="B773" s="7">
        <v>45652.0</v>
      </c>
      <c r="C773" s="4" t="s">
        <v>116</v>
      </c>
      <c r="D773" s="4" t="s">
        <v>238</v>
      </c>
      <c r="E773" s="8">
        <v>30.0</v>
      </c>
      <c r="F773" s="4" t="str">
        <f t="shared" si="1"/>
        <v>500 &amp; Below</v>
      </c>
    </row>
    <row r="774" ht="15.75" customHeight="1">
      <c r="A774" s="4" t="s">
        <v>8</v>
      </c>
      <c r="B774" s="7">
        <v>45653.0</v>
      </c>
      <c r="C774" s="4" t="s">
        <v>116</v>
      </c>
      <c r="D774" s="4" t="s">
        <v>1432</v>
      </c>
      <c r="E774" s="8">
        <v>290.0</v>
      </c>
      <c r="F774" s="4" t="str">
        <f t="shared" si="1"/>
        <v>500 &amp; Below</v>
      </c>
    </row>
    <row r="775" ht="15.75" customHeight="1">
      <c r="A775" s="4" t="s">
        <v>8</v>
      </c>
      <c r="B775" s="7">
        <v>45653.0</v>
      </c>
      <c r="C775" s="4" t="s">
        <v>116</v>
      </c>
      <c r="D775" s="4" t="s">
        <v>2094</v>
      </c>
      <c r="E775" s="8">
        <v>120.0</v>
      </c>
      <c r="F775" s="4" t="str">
        <f t="shared" si="1"/>
        <v>500 &amp; Below</v>
      </c>
    </row>
    <row r="776" ht="15.75" customHeight="1">
      <c r="A776" s="4" t="s">
        <v>8</v>
      </c>
      <c r="B776" s="7">
        <v>45653.0</v>
      </c>
      <c r="C776" s="4" t="s">
        <v>116</v>
      </c>
      <c r="D776" s="4" t="s">
        <v>39</v>
      </c>
      <c r="E776" s="8">
        <v>28.0</v>
      </c>
      <c r="F776" s="4" t="str">
        <f t="shared" si="1"/>
        <v>500 &amp; Below</v>
      </c>
    </row>
    <row r="777" ht="15.75" customHeight="1">
      <c r="A777" s="4" t="s">
        <v>8</v>
      </c>
      <c r="B777" s="7">
        <v>45653.0</v>
      </c>
      <c r="C777" s="4" t="s">
        <v>116</v>
      </c>
      <c r="D777" s="4" t="s">
        <v>39</v>
      </c>
      <c r="E777" s="8">
        <v>2.0</v>
      </c>
      <c r="F777" s="4" t="str">
        <f t="shared" si="1"/>
        <v>500 &amp; Below</v>
      </c>
    </row>
    <row r="778" ht="15.75" customHeight="1">
      <c r="A778" s="4" t="s">
        <v>8</v>
      </c>
      <c r="B778" s="7">
        <v>45654.0</v>
      </c>
      <c r="C778" s="4" t="s">
        <v>116</v>
      </c>
      <c r="D778" s="4" t="s">
        <v>2100</v>
      </c>
      <c r="E778" s="8">
        <v>80.0</v>
      </c>
      <c r="F778" s="4" t="str">
        <f t="shared" si="1"/>
        <v>500 &amp; Below</v>
      </c>
    </row>
    <row r="779" ht="15.75" customHeight="1">
      <c r="A779" s="4" t="s">
        <v>8</v>
      </c>
      <c r="B779" s="7">
        <v>45654.0</v>
      </c>
      <c r="C779" s="4" t="s">
        <v>116</v>
      </c>
      <c r="D779" s="4" t="s">
        <v>2104</v>
      </c>
      <c r="E779" s="8">
        <v>64.0</v>
      </c>
      <c r="F779" s="4" t="str">
        <f t="shared" si="1"/>
        <v>500 &amp; Below</v>
      </c>
    </row>
    <row r="780" ht="15.75" customHeight="1">
      <c r="A780" s="4" t="s">
        <v>8</v>
      </c>
      <c r="B780" s="7">
        <v>45655.0</v>
      </c>
      <c r="C780" s="4" t="s">
        <v>116</v>
      </c>
      <c r="D780" s="4" t="s">
        <v>2108</v>
      </c>
      <c r="E780" s="8">
        <v>2000.0</v>
      </c>
      <c r="F780" s="4" t="str">
        <f t="shared" si="1"/>
        <v>Above 500</v>
      </c>
    </row>
    <row r="781" ht="15.75" customHeight="1">
      <c r="A781" s="4" t="s">
        <v>8</v>
      </c>
      <c r="B781" s="7">
        <v>45655.0</v>
      </c>
      <c r="C781" s="4" t="s">
        <v>116</v>
      </c>
      <c r="D781" s="4" t="s">
        <v>1519</v>
      </c>
      <c r="E781" s="8">
        <v>170.0</v>
      </c>
      <c r="F781" s="4" t="str">
        <f t="shared" si="1"/>
        <v>500 &amp; Below</v>
      </c>
    </row>
    <row r="782" ht="15.75" customHeight="1">
      <c r="A782" s="4" t="s">
        <v>8</v>
      </c>
      <c r="B782" s="7">
        <v>45655.0</v>
      </c>
      <c r="C782" s="4" t="s">
        <v>116</v>
      </c>
      <c r="D782" s="4" t="s">
        <v>2115</v>
      </c>
      <c r="E782" s="8">
        <v>1000.0</v>
      </c>
      <c r="F782" s="4" t="str">
        <f t="shared" si="1"/>
        <v>Above 500</v>
      </c>
    </row>
    <row r="783" ht="15.75" customHeight="1">
      <c r="A783" s="4" t="s">
        <v>8</v>
      </c>
      <c r="B783" s="7">
        <v>45655.0</v>
      </c>
      <c r="C783" s="4" t="s">
        <v>116</v>
      </c>
      <c r="D783" s="4" t="s">
        <v>2120</v>
      </c>
      <c r="E783" s="8">
        <v>20.0</v>
      </c>
      <c r="F783" s="4" t="str">
        <f t="shared" si="1"/>
        <v>500 &amp; Below</v>
      </c>
    </row>
    <row r="784" ht="15.75" customHeight="1">
      <c r="A784" s="4" t="s">
        <v>8</v>
      </c>
      <c r="B784" s="7">
        <v>45655.0</v>
      </c>
      <c r="C784" s="4" t="s">
        <v>116</v>
      </c>
      <c r="D784" s="4" t="s">
        <v>2126</v>
      </c>
      <c r="E784" s="8">
        <v>50.0</v>
      </c>
      <c r="F784" s="4" t="str">
        <f t="shared" si="1"/>
        <v>500 &amp; Below</v>
      </c>
    </row>
    <row r="785" ht="15.75" customHeight="1">
      <c r="A785" s="4" t="s">
        <v>8</v>
      </c>
      <c r="B785" s="7">
        <v>45655.0</v>
      </c>
      <c r="C785" s="4" t="s">
        <v>116</v>
      </c>
      <c r="D785" s="4" t="s">
        <v>115</v>
      </c>
      <c r="E785" s="8">
        <v>90.0</v>
      </c>
      <c r="F785" s="4" t="str">
        <f t="shared" si="1"/>
        <v>500 &amp; Below</v>
      </c>
    </row>
    <row r="786" ht="15.75" customHeight="1">
      <c r="A786" s="4" t="s">
        <v>8</v>
      </c>
      <c r="B786" s="7">
        <v>45655.0</v>
      </c>
      <c r="C786" s="4" t="s">
        <v>116</v>
      </c>
      <c r="D786" s="4" t="s">
        <v>39</v>
      </c>
      <c r="E786" s="8">
        <v>20.0</v>
      </c>
      <c r="F786" s="4" t="str">
        <f t="shared" si="1"/>
        <v>500 &amp; Below</v>
      </c>
    </row>
    <row r="787" ht="15.75" customHeight="1">
      <c r="A787" s="4" t="s">
        <v>8</v>
      </c>
      <c r="B787" s="7">
        <v>45656.0</v>
      </c>
      <c r="C787" s="4" t="s">
        <v>116</v>
      </c>
      <c r="D787" s="4" t="s">
        <v>1261</v>
      </c>
      <c r="E787" s="8">
        <v>30.0</v>
      </c>
      <c r="F787" s="4" t="str">
        <f t="shared" si="1"/>
        <v>500 &amp; Below</v>
      </c>
    </row>
    <row r="788" ht="15.75" customHeight="1">
      <c r="A788" s="4" t="s">
        <v>8</v>
      </c>
      <c r="B788" s="7">
        <v>45656.0</v>
      </c>
      <c r="C788" s="4" t="s">
        <v>116</v>
      </c>
      <c r="D788" s="4" t="s">
        <v>48</v>
      </c>
      <c r="E788" s="8">
        <v>234.0</v>
      </c>
      <c r="F788" s="4" t="str">
        <f t="shared" si="1"/>
        <v>500 &amp; Below</v>
      </c>
    </row>
    <row r="789" ht="15.75" customHeight="1">
      <c r="A789" s="4" t="s">
        <v>8</v>
      </c>
      <c r="B789" s="7">
        <v>45657.0</v>
      </c>
      <c r="C789" s="4" t="s">
        <v>116</v>
      </c>
      <c r="D789" s="4" t="s">
        <v>119</v>
      </c>
      <c r="E789" s="8">
        <v>43.0</v>
      </c>
      <c r="F789" s="4" t="str">
        <f t="shared" si="1"/>
        <v>500 &amp; Below</v>
      </c>
    </row>
    <row r="790" ht="15.75" customHeight="1">
      <c r="A790" s="4" t="s">
        <v>8</v>
      </c>
      <c r="B790" s="7">
        <v>45657.0</v>
      </c>
      <c r="C790" s="4" t="s">
        <v>116</v>
      </c>
      <c r="D790" s="4" t="s">
        <v>2143</v>
      </c>
      <c r="E790" s="8">
        <v>260.0</v>
      </c>
      <c r="F790" s="4" t="str">
        <f t="shared" si="1"/>
        <v>500 &amp; Below</v>
      </c>
    </row>
    <row r="791" ht="15.75" customHeight="1">
      <c r="A791" s="4" t="s">
        <v>8</v>
      </c>
      <c r="B791" s="7">
        <v>45658.0</v>
      </c>
      <c r="C791" s="4" t="s">
        <v>125</v>
      </c>
      <c r="D791" s="4" t="s">
        <v>18</v>
      </c>
      <c r="E791" s="8">
        <v>192.26</v>
      </c>
      <c r="F791" s="4" t="str">
        <f t="shared" si="1"/>
        <v>500 &amp; Below</v>
      </c>
    </row>
    <row r="792" ht="15.75" customHeight="1">
      <c r="A792" s="4" t="s">
        <v>8</v>
      </c>
      <c r="B792" s="7">
        <v>45658.0</v>
      </c>
      <c r="C792" s="4" t="s">
        <v>125</v>
      </c>
      <c r="D792" s="4" t="s">
        <v>1698</v>
      </c>
      <c r="E792" s="8">
        <v>126.0</v>
      </c>
      <c r="F792" s="4" t="str">
        <f t="shared" si="1"/>
        <v>500 &amp; Below</v>
      </c>
    </row>
    <row r="793" ht="15.75" customHeight="1">
      <c r="A793" s="4" t="s">
        <v>8</v>
      </c>
      <c r="B793" s="7">
        <v>45659.0</v>
      </c>
      <c r="C793" s="4" t="s">
        <v>125</v>
      </c>
      <c r="D793" s="4" t="s">
        <v>532</v>
      </c>
      <c r="E793" s="8">
        <v>217.0</v>
      </c>
      <c r="F793" s="4" t="str">
        <f t="shared" si="1"/>
        <v>500 &amp; Below</v>
      </c>
    </row>
    <row r="794" ht="15.75" customHeight="1">
      <c r="A794" s="4" t="s">
        <v>8</v>
      </c>
      <c r="B794" s="7">
        <v>45660.0</v>
      </c>
      <c r="C794" s="4" t="s">
        <v>125</v>
      </c>
      <c r="D794" s="4" t="s">
        <v>1698</v>
      </c>
      <c r="E794" s="8">
        <v>205.79</v>
      </c>
      <c r="F794" s="4" t="str">
        <f t="shared" si="1"/>
        <v>500 &amp; Below</v>
      </c>
    </row>
    <row r="795" ht="15.75" customHeight="1">
      <c r="A795" s="4" t="s">
        <v>8</v>
      </c>
      <c r="B795" s="7">
        <v>45660.0</v>
      </c>
      <c r="C795" s="4" t="s">
        <v>125</v>
      </c>
      <c r="D795" s="4" t="s">
        <v>18</v>
      </c>
      <c r="E795" s="8">
        <v>163.77</v>
      </c>
      <c r="F795" s="4" t="str">
        <f t="shared" si="1"/>
        <v>500 &amp; Below</v>
      </c>
    </row>
    <row r="796" ht="15.75" customHeight="1">
      <c r="A796" s="4" t="s">
        <v>8</v>
      </c>
      <c r="B796" s="7">
        <v>45660.0</v>
      </c>
      <c r="C796" s="4" t="s">
        <v>125</v>
      </c>
      <c r="D796" s="4" t="s">
        <v>18</v>
      </c>
      <c r="E796" s="8">
        <v>47.5</v>
      </c>
      <c r="F796" s="4" t="str">
        <f t="shared" si="1"/>
        <v>500 &amp; Below</v>
      </c>
    </row>
    <row r="797" ht="15.75" customHeight="1">
      <c r="A797" s="4" t="s">
        <v>8</v>
      </c>
      <c r="B797" s="7">
        <v>45661.0</v>
      </c>
      <c r="C797" s="4" t="s">
        <v>125</v>
      </c>
      <c r="D797" s="4" t="s">
        <v>2161</v>
      </c>
      <c r="E797" s="8">
        <v>3.0</v>
      </c>
      <c r="F797" s="4" t="str">
        <f t="shared" si="1"/>
        <v>500 &amp; Below</v>
      </c>
    </row>
    <row r="798" ht="15.75" customHeight="1">
      <c r="A798" s="4" t="s">
        <v>8</v>
      </c>
      <c r="B798" s="7">
        <v>45661.0</v>
      </c>
      <c r="C798" s="4" t="s">
        <v>125</v>
      </c>
      <c r="D798" s="4" t="s">
        <v>56</v>
      </c>
      <c r="E798" s="8">
        <v>359.0</v>
      </c>
      <c r="F798" s="4" t="str">
        <f t="shared" si="1"/>
        <v>500 &amp; Below</v>
      </c>
    </row>
    <row r="799" ht="15.75" customHeight="1">
      <c r="A799" s="4" t="s">
        <v>8</v>
      </c>
      <c r="B799" s="7">
        <v>45661.0</v>
      </c>
      <c r="C799" s="4" t="s">
        <v>125</v>
      </c>
      <c r="D799" s="4" t="s">
        <v>119</v>
      </c>
      <c r="E799" s="8">
        <v>13.0</v>
      </c>
      <c r="F799" s="4" t="str">
        <f t="shared" si="1"/>
        <v>500 &amp; Below</v>
      </c>
    </row>
    <row r="800" ht="15.75" customHeight="1">
      <c r="A800" s="4" t="s">
        <v>8</v>
      </c>
      <c r="B800" s="7">
        <v>45661.0</v>
      </c>
      <c r="C800" s="4" t="s">
        <v>125</v>
      </c>
      <c r="D800" s="4" t="s">
        <v>928</v>
      </c>
      <c r="E800" s="8">
        <v>210.0</v>
      </c>
      <c r="F800" s="4" t="str">
        <f t="shared" si="1"/>
        <v>500 &amp; Below</v>
      </c>
    </row>
    <row r="801" ht="15.75" customHeight="1">
      <c r="A801" s="4" t="s">
        <v>8</v>
      </c>
      <c r="B801" s="7">
        <v>45661.0</v>
      </c>
      <c r="C801" s="4" t="s">
        <v>125</v>
      </c>
      <c r="D801" s="4" t="s">
        <v>1506</v>
      </c>
      <c r="E801" s="8">
        <v>240.0</v>
      </c>
      <c r="F801" s="4" t="str">
        <f t="shared" si="1"/>
        <v>500 &amp; Below</v>
      </c>
    </row>
    <row r="802" ht="15.75" customHeight="1">
      <c r="A802" s="4" t="s">
        <v>8</v>
      </c>
      <c r="B802" s="7">
        <v>45662.0</v>
      </c>
      <c r="C802" s="4" t="s">
        <v>125</v>
      </c>
      <c r="D802" s="4" t="s">
        <v>632</v>
      </c>
      <c r="E802" s="8">
        <v>300.0</v>
      </c>
      <c r="F802" s="4" t="str">
        <f t="shared" si="1"/>
        <v>500 &amp; Below</v>
      </c>
    </row>
    <row r="803" ht="15.75" customHeight="1">
      <c r="A803" s="4" t="s">
        <v>8</v>
      </c>
      <c r="B803" s="7">
        <v>45662.0</v>
      </c>
      <c r="C803" s="4" t="s">
        <v>125</v>
      </c>
      <c r="D803" s="4" t="s">
        <v>115</v>
      </c>
      <c r="E803" s="8">
        <v>210.0</v>
      </c>
      <c r="F803" s="4" t="str">
        <f t="shared" si="1"/>
        <v>500 &amp; Below</v>
      </c>
    </row>
    <row r="804" ht="15.75" customHeight="1">
      <c r="A804" s="4" t="s">
        <v>8</v>
      </c>
      <c r="B804" s="7">
        <v>45663.0</v>
      </c>
      <c r="C804" s="4" t="s">
        <v>125</v>
      </c>
      <c r="D804" s="4" t="s">
        <v>238</v>
      </c>
      <c r="E804" s="8">
        <v>50.0</v>
      </c>
      <c r="F804" s="4" t="str">
        <f t="shared" si="1"/>
        <v>500 &amp; Below</v>
      </c>
    </row>
    <row r="805" ht="15.75" customHeight="1">
      <c r="A805" s="4" t="s">
        <v>8</v>
      </c>
      <c r="B805" s="7">
        <v>45663.0</v>
      </c>
      <c r="C805" s="4" t="s">
        <v>125</v>
      </c>
      <c r="D805" s="4" t="s">
        <v>39</v>
      </c>
      <c r="E805" s="8">
        <v>10.0</v>
      </c>
      <c r="F805" s="4" t="str">
        <f t="shared" si="1"/>
        <v>500 &amp; Below</v>
      </c>
    </row>
    <row r="806" ht="15.75" customHeight="1">
      <c r="A806" s="4" t="s">
        <v>8</v>
      </c>
      <c r="B806" s="7">
        <v>45663.0</v>
      </c>
      <c r="C806" s="4" t="s">
        <v>125</v>
      </c>
      <c r="D806" s="4" t="s">
        <v>18</v>
      </c>
      <c r="E806" s="8">
        <v>228.74</v>
      </c>
      <c r="F806" s="4" t="str">
        <f t="shared" si="1"/>
        <v>500 &amp; Below</v>
      </c>
    </row>
    <row r="807" ht="15.75" customHeight="1">
      <c r="A807" s="4" t="s">
        <v>8</v>
      </c>
      <c r="B807" s="7">
        <v>45664.0</v>
      </c>
      <c r="C807" s="4" t="s">
        <v>125</v>
      </c>
      <c r="D807" s="4" t="s">
        <v>826</v>
      </c>
      <c r="E807" s="8">
        <v>895.0</v>
      </c>
      <c r="F807" s="4" t="str">
        <f t="shared" si="1"/>
        <v>Above 500</v>
      </c>
    </row>
    <row r="808" ht="15.75" customHeight="1">
      <c r="A808" s="4" t="s">
        <v>8</v>
      </c>
      <c r="B808" s="7">
        <v>45665.0</v>
      </c>
      <c r="C808" s="4" t="s">
        <v>125</v>
      </c>
      <c r="D808" s="4" t="s">
        <v>37</v>
      </c>
      <c r="E808" s="8">
        <v>319.0</v>
      </c>
      <c r="F808" s="4" t="str">
        <f t="shared" si="1"/>
        <v>500 &amp; Below</v>
      </c>
    </row>
    <row r="809" ht="15.75" customHeight="1">
      <c r="A809" s="4" t="s">
        <v>8</v>
      </c>
      <c r="B809" s="7">
        <v>45665.0</v>
      </c>
      <c r="C809" s="4" t="s">
        <v>125</v>
      </c>
      <c r="D809" s="4" t="s">
        <v>18</v>
      </c>
      <c r="E809" s="8">
        <v>325.96</v>
      </c>
      <c r="F809" s="4" t="str">
        <f t="shared" si="1"/>
        <v>500 &amp; Below</v>
      </c>
    </row>
    <row r="810" ht="15.75" customHeight="1">
      <c r="A810" s="4" t="s">
        <v>8</v>
      </c>
      <c r="B810" s="7">
        <v>45665.0</v>
      </c>
      <c r="C810" s="4" t="s">
        <v>125</v>
      </c>
      <c r="D810" s="4" t="s">
        <v>2214</v>
      </c>
      <c r="E810" s="8">
        <v>160.0</v>
      </c>
      <c r="F810" s="4" t="str">
        <f t="shared" si="1"/>
        <v>500 &amp; Below</v>
      </c>
    </row>
    <row r="811" ht="15.75" customHeight="1">
      <c r="A811" s="4" t="s">
        <v>8</v>
      </c>
      <c r="B811" s="7">
        <v>45665.0</v>
      </c>
      <c r="C811" s="4" t="s">
        <v>125</v>
      </c>
      <c r="D811" s="4" t="s">
        <v>68</v>
      </c>
      <c r="E811" s="8">
        <v>40.0</v>
      </c>
      <c r="F811" s="4" t="str">
        <f t="shared" si="1"/>
        <v>500 &amp; Below</v>
      </c>
    </row>
    <row r="812" ht="15.75" customHeight="1">
      <c r="A812" s="4" t="s">
        <v>8</v>
      </c>
      <c r="B812" s="7">
        <v>45666.0</v>
      </c>
      <c r="C812" s="4" t="s">
        <v>125</v>
      </c>
      <c r="D812" s="4" t="s">
        <v>72</v>
      </c>
      <c r="E812" s="8">
        <v>480.0</v>
      </c>
      <c r="F812" s="4" t="str">
        <f t="shared" si="1"/>
        <v>500 &amp; Below</v>
      </c>
    </row>
    <row r="813" ht="15.75" customHeight="1">
      <c r="A813" s="4" t="s">
        <v>8</v>
      </c>
      <c r="B813" s="7">
        <v>45666.0</v>
      </c>
      <c r="C813" s="4" t="s">
        <v>125</v>
      </c>
      <c r="D813" s="4" t="s">
        <v>39</v>
      </c>
      <c r="E813" s="8">
        <v>20.0</v>
      </c>
      <c r="F813" s="4" t="str">
        <f t="shared" si="1"/>
        <v>500 &amp; Below</v>
      </c>
    </row>
    <row r="814" ht="15.75" customHeight="1">
      <c r="A814" s="4" t="s">
        <v>8</v>
      </c>
      <c r="B814" s="7">
        <v>45666.0</v>
      </c>
      <c r="C814" s="4" t="s">
        <v>125</v>
      </c>
      <c r="D814" s="4" t="s">
        <v>24</v>
      </c>
      <c r="E814" s="8">
        <v>80.0</v>
      </c>
      <c r="F814" s="4" t="str">
        <f t="shared" si="1"/>
        <v>500 &amp; Below</v>
      </c>
    </row>
    <row r="815" ht="15.75" customHeight="1">
      <c r="A815" s="4" t="s">
        <v>8</v>
      </c>
      <c r="B815" s="7">
        <v>45667.0</v>
      </c>
      <c r="C815" s="4" t="s">
        <v>125</v>
      </c>
      <c r="D815" s="4" t="s">
        <v>119</v>
      </c>
      <c r="E815" s="8">
        <v>105.0</v>
      </c>
      <c r="F815" s="4" t="str">
        <f t="shared" si="1"/>
        <v>500 &amp; Below</v>
      </c>
    </row>
    <row r="816" ht="15.75" customHeight="1">
      <c r="A816" s="4" t="s">
        <v>8</v>
      </c>
      <c r="B816" s="7">
        <v>45668.0</v>
      </c>
      <c r="C816" s="4" t="s">
        <v>125</v>
      </c>
      <c r="D816" s="4" t="s">
        <v>36</v>
      </c>
      <c r="E816" s="8">
        <v>1318.0</v>
      </c>
      <c r="F816" s="4" t="str">
        <f t="shared" si="1"/>
        <v>Above 500</v>
      </c>
    </row>
    <row r="817" ht="15.75" customHeight="1">
      <c r="A817" s="4" t="s">
        <v>8</v>
      </c>
      <c r="B817" s="7">
        <v>45668.0</v>
      </c>
      <c r="C817" s="4" t="s">
        <v>125</v>
      </c>
      <c r="D817" s="4" t="s">
        <v>36</v>
      </c>
      <c r="E817" s="8">
        <v>579.0</v>
      </c>
      <c r="F817" s="4" t="str">
        <f t="shared" si="1"/>
        <v>Above 500</v>
      </c>
    </row>
    <row r="818" ht="15.75" customHeight="1">
      <c r="A818" s="4" t="s">
        <v>8</v>
      </c>
      <c r="B818" s="7">
        <v>45669.0</v>
      </c>
      <c r="C818" s="4" t="s">
        <v>125</v>
      </c>
      <c r="D818" s="4" t="s">
        <v>36</v>
      </c>
      <c r="E818" s="8">
        <v>1751.0</v>
      </c>
      <c r="F818" s="4" t="str">
        <f t="shared" si="1"/>
        <v>Above 500</v>
      </c>
    </row>
    <row r="819" ht="15.75" customHeight="1">
      <c r="A819" s="4" t="s">
        <v>8</v>
      </c>
      <c r="B819" s="7">
        <v>45669.0</v>
      </c>
      <c r="C819" s="4" t="s">
        <v>125</v>
      </c>
      <c r="D819" s="4" t="s">
        <v>106</v>
      </c>
      <c r="E819" s="8">
        <v>10.0</v>
      </c>
      <c r="F819" s="4" t="str">
        <f t="shared" si="1"/>
        <v>500 &amp; Below</v>
      </c>
    </row>
    <row r="820" ht="15.75" customHeight="1">
      <c r="A820" s="4" t="s">
        <v>8</v>
      </c>
      <c r="B820" s="7">
        <v>45669.0</v>
      </c>
      <c r="C820" s="4" t="s">
        <v>125</v>
      </c>
      <c r="D820" s="4" t="s">
        <v>2266</v>
      </c>
      <c r="E820" s="8">
        <v>80.0</v>
      </c>
      <c r="F820" s="4" t="str">
        <f t="shared" si="1"/>
        <v>500 &amp; Below</v>
      </c>
    </row>
    <row r="821" ht="15.75" customHeight="1">
      <c r="A821" s="4" t="s">
        <v>8</v>
      </c>
      <c r="B821" s="7">
        <v>45669.0</v>
      </c>
      <c r="C821" s="4" t="s">
        <v>125</v>
      </c>
      <c r="D821" s="4" t="s">
        <v>45</v>
      </c>
      <c r="E821" s="8">
        <v>1106.0</v>
      </c>
      <c r="F821" s="4" t="str">
        <f t="shared" si="1"/>
        <v>Above 500</v>
      </c>
    </row>
    <row r="822" ht="15.75" customHeight="1">
      <c r="A822" s="4" t="s">
        <v>8</v>
      </c>
      <c r="B822" s="7">
        <v>45670.0</v>
      </c>
      <c r="C822" s="4" t="s">
        <v>125</v>
      </c>
      <c r="D822" s="4" t="s">
        <v>24</v>
      </c>
      <c r="E822" s="8">
        <v>20.0</v>
      </c>
      <c r="F822" s="4" t="str">
        <f t="shared" si="1"/>
        <v>500 &amp; Below</v>
      </c>
    </row>
    <row r="823" ht="15.75" customHeight="1">
      <c r="A823" s="4" t="s">
        <v>8</v>
      </c>
      <c r="B823" s="7">
        <v>45671.0</v>
      </c>
      <c r="C823" s="4" t="s">
        <v>125</v>
      </c>
      <c r="D823" s="4" t="s">
        <v>103</v>
      </c>
      <c r="E823" s="8">
        <v>400.0</v>
      </c>
      <c r="F823" s="4" t="str">
        <f t="shared" si="1"/>
        <v>500 &amp; Below</v>
      </c>
    </row>
    <row r="824" ht="15.75" customHeight="1">
      <c r="A824" s="4" t="s">
        <v>8</v>
      </c>
      <c r="B824" s="7">
        <v>45673.0</v>
      </c>
      <c r="C824" s="4" t="s">
        <v>125</v>
      </c>
      <c r="D824" s="4" t="s">
        <v>18</v>
      </c>
      <c r="E824" s="8">
        <v>69.6</v>
      </c>
      <c r="F824" s="4" t="str">
        <f t="shared" si="1"/>
        <v>500 &amp; Below</v>
      </c>
    </row>
    <row r="825" ht="15.75" customHeight="1">
      <c r="A825" s="4" t="s">
        <v>8</v>
      </c>
      <c r="B825" s="7">
        <v>45673.0</v>
      </c>
      <c r="C825" s="4" t="s">
        <v>125</v>
      </c>
      <c r="D825" s="4" t="s">
        <v>24</v>
      </c>
      <c r="E825" s="8">
        <v>48.0</v>
      </c>
      <c r="F825" s="4" t="str">
        <f t="shared" si="1"/>
        <v>500 &amp; Below</v>
      </c>
    </row>
    <row r="826" ht="15.75" customHeight="1">
      <c r="A826" s="4" t="s">
        <v>8</v>
      </c>
      <c r="B826" s="7">
        <v>45674.0</v>
      </c>
      <c r="C826" s="4" t="s">
        <v>125</v>
      </c>
      <c r="D826" s="4" t="s">
        <v>867</v>
      </c>
      <c r="E826" s="8">
        <v>145.0</v>
      </c>
      <c r="F826" s="4" t="str">
        <f t="shared" si="1"/>
        <v>500 &amp; Below</v>
      </c>
    </row>
    <row r="827" ht="15.75" customHeight="1">
      <c r="A827" s="4" t="s">
        <v>8</v>
      </c>
      <c r="B827" s="7">
        <v>45674.0</v>
      </c>
      <c r="C827" s="4" t="s">
        <v>125</v>
      </c>
      <c r="D827" s="4" t="s">
        <v>41</v>
      </c>
      <c r="E827" s="8">
        <v>199.0</v>
      </c>
      <c r="F827" s="4" t="str">
        <f t="shared" si="1"/>
        <v>500 &amp; Below</v>
      </c>
    </row>
    <row r="828" ht="15.75" customHeight="1">
      <c r="A828" s="4" t="s">
        <v>8</v>
      </c>
      <c r="B828" s="7">
        <v>45676.0</v>
      </c>
      <c r="C828" s="4" t="s">
        <v>125</v>
      </c>
      <c r="D828" s="4" t="s">
        <v>124</v>
      </c>
      <c r="E828" s="8">
        <v>299.0</v>
      </c>
      <c r="F828" s="4" t="str">
        <f t="shared" si="1"/>
        <v>500 &amp; Below</v>
      </c>
    </row>
    <row r="829" ht="15.75" customHeight="1">
      <c r="A829" s="4" t="s">
        <v>8</v>
      </c>
      <c r="B829" s="7">
        <v>45676.0</v>
      </c>
      <c r="C829" s="4" t="s">
        <v>125</v>
      </c>
      <c r="D829" s="4" t="s">
        <v>1919</v>
      </c>
      <c r="E829" s="8">
        <v>44.0</v>
      </c>
      <c r="F829" s="4" t="str">
        <f t="shared" si="1"/>
        <v>500 &amp; Below</v>
      </c>
    </row>
    <row r="830" ht="15.75" customHeight="1">
      <c r="A830" s="4" t="s">
        <v>8</v>
      </c>
      <c r="B830" s="7">
        <v>45676.0</v>
      </c>
      <c r="C830" s="4" t="s">
        <v>125</v>
      </c>
      <c r="D830" s="4" t="s">
        <v>117</v>
      </c>
      <c r="E830" s="8">
        <v>30.0</v>
      </c>
      <c r="F830" s="4" t="str">
        <f t="shared" si="1"/>
        <v>500 &amp; Below</v>
      </c>
    </row>
    <row r="831" ht="15.75" customHeight="1">
      <c r="A831" s="4" t="s">
        <v>8</v>
      </c>
      <c r="B831" s="7">
        <v>45676.0</v>
      </c>
      <c r="C831" s="4" t="s">
        <v>125</v>
      </c>
      <c r="D831" s="4" t="s">
        <v>2298</v>
      </c>
      <c r="E831" s="8">
        <v>60.0</v>
      </c>
      <c r="F831" s="4" t="str">
        <f t="shared" si="1"/>
        <v>500 &amp; Below</v>
      </c>
    </row>
    <row r="832" ht="15.75" customHeight="1">
      <c r="A832" s="4" t="s">
        <v>8</v>
      </c>
      <c r="B832" s="7">
        <v>45676.0</v>
      </c>
      <c r="C832" s="4" t="s">
        <v>125</v>
      </c>
      <c r="D832" s="4" t="s">
        <v>45</v>
      </c>
      <c r="E832" s="8">
        <v>378.0</v>
      </c>
      <c r="F832" s="4" t="str">
        <f t="shared" si="1"/>
        <v>500 &amp; Below</v>
      </c>
    </row>
    <row r="833" ht="15.75" customHeight="1">
      <c r="A833" s="4" t="s">
        <v>8</v>
      </c>
      <c r="B833" s="7">
        <v>45676.0</v>
      </c>
      <c r="C833" s="4" t="s">
        <v>125</v>
      </c>
      <c r="D833" s="4" t="s">
        <v>25</v>
      </c>
      <c r="E833" s="8">
        <v>10.0</v>
      </c>
      <c r="F833" s="4" t="str">
        <f t="shared" si="1"/>
        <v>500 &amp; Below</v>
      </c>
    </row>
    <row r="834" ht="15.75" customHeight="1">
      <c r="A834" s="4" t="s">
        <v>8</v>
      </c>
      <c r="B834" s="7">
        <v>45677.0</v>
      </c>
      <c r="C834" s="4" t="s">
        <v>125</v>
      </c>
      <c r="D834" s="4" t="s">
        <v>2309</v>
      </c>
      <c r="E834" s="8">
        <v>300.0</v>
      </c>
      <c r="F834" s="4" t="str">
        <f t="shared" si="1"/>
        <v>500 &amp; Below</v>
      </c>
    </row>
    <row r="835" ht="15.75" customHeight="1">
      <c r="A835" s="4" t="s">
        <v>8</v>
      </c>
      <c r="B835" s="7">
        <v>45677.0</v>
      </c>
      <c r="C835" s="4" t="s">
        <v>125</v>
      </c>
      <c r="D835" s="4" t="s">
        <v>2311</v>
      </c>
      <c r="E835" s="8">
        <v>77.0</v>
      </c>
      <c r="F835" s="4" t="str">
        <f t="shared" si="1"/>
        <v>500 &amp; Below</v>
      </c>
    </row>
    <row r="836" ht="15.75" customHeight="1">
      <c r="A836" s="4" t="s">
        <v>8</v>
      </c>
      <c r="B836" s="7">
        <v>45677.0</v>
      </c>
      <c r="C836" s="4" t="s">
        <v>125</v>
      </c>
      <c r="D836" s="4" t="s">
        <v>2329</v>
      </c>
      <c r="E836" s="8">
        <v>30.0</v>
      </c>
      <c r="F836" s="4" t="str">
        <f t="shared" si="1"/>
        <v>500 &amp; Below</v>
      </c>
    </row>
    <row r="837" ht="15.75" customHeight="1">
      <c r="A837" s="4" t="s">
        <v>8</v>
      </c>
      <c r="B837" s="7">
        <v>45677.0</v>
      </c>
      <c r="C837" s="4" t="s">
        <v>125</v>
      </c>
      <c r="D837" s="4" t="s">
        <v>117</v>
      </c>
      <c r="E837" s="8">
        <v>40.0</v>
      </c>
      <c r="F837" s="4" t="str">
        <f t="shared" si="1"/>
        <v>500 &amp; Below</v>
      </c>
    </row>
    <row r="838" ht="15.75" customHeight="1">
      <c r="A838" s="4" t="s">
        <v>8</v>
      </c>
      <c r="B838" s="7">
        <v>45677.0</v>
      </c>
      <c r="C838" s="4" t="s">
        <v>125</v>
      </c>
      <c r="D838" s="4" t="s">
        <v>106</v>
      </c>
      <c r="E838" s="8">
        <v>20.0</v>
      </c>
      <c r="F838" s="4" t="str">
        <f t="shared" si="1"/>
        <v>500 &amp; Below</v>
      </c>
    </row>
    <row r="839" ht="15.75" customHeight="1">
      <c r="A839" s="4" t="s">
        <v>8</v>
      </c>
      <c r="B839" s="7">
        <v>45679.0</v>
      </c>
      <c r="C839" s="4" t="s">
        <v>125</v>
      </c>
      <c r="D839" s="4" t="s">
        <v>124</v>
      </c>
      <c r="E839" s="8">
        <v>859.0</v>
      </c>
      <c r="F839" s="4" t="str">
        <f t="shared" si="1"/>
        <v>Above 500</v>
      </c>
    </row>
    <row r="840" ht="15.75" customHeight="1">
      <c r="A840" s="4" t="s">
        <v>8</v>
      </c>
      <c r="B840" s="7">
        <v>45679.0</v>
      </c>
      <c r="C840" s="4" t="s">
        <v>125</v>
      </c>
      <c r="D840" s="4" t="s">
        <v>2344</v>
      </c>
      <c r="E840" s="8">
        <v>100.0</v>
      </c>
      <c r="F840" s="4" t="str">
        <f t="shared" si="1"/>
        <v>500 &amp; Below</v>
      </c>
    </row>
    <row r="841" ht="15.75" customHeight="1">
      <c r="A841" s="4" t="s">
        <v>8</v>
      </c>
      <c r="B841" s="7">
        <v>45679.0</v>
      </c>
      <c r="C841" s="4" t="s">
        <v>125</v>
      </c>
      <c r="D841" s="4" t="s">
        <v>2349</v>
      </c>
      <c r="E841" s="8">
        <v>800.0</v>
      </c>
      <c r="F841" s="4" t="str">
        <f t="shared" si="1"/>
        <v>Above 500</v>
      </c>
    </row>
    <row r="842" ht="15.75" customHeight="1">
      <c r="A842" s="4" t="s">
        <v>8</v>
      </c>
      <c r="B842" s="7">
        <v>45679.0</v>
      </c>
      <c r="C842" s="4" t="s">
        <v>125</v>
      </c>
      <c r="D842" s="4" t="s">
        <v>1718</v>
      </c>
      <c r="E842" s="8">
        <v>2911.0</v>
      </c>
      <c r="F842" s="4" t="str">
        <f t="shared" si="1"/>
        <v>Above 500</v>
      </c>
    </row>
    <row r="843" ht="15.75" customHeight="1">
      <c r="A843" s="4" t="s">
        <v>8</v>
      </c>
      <c r="B843" s="7">
        <v>45679.0</v>
      </c>
      <c r="C843" s="4" t="s">
        <v>125</v>
      </c>
      <c r="D843" s="4" t="s">
        <v>2143</v>
      </c>
      <c r="E843" s="8">
        <v>275.0</v>
      </c>
      <c r="F843" s="4" t="str">
        <f t="shared" si="1"/>
        <v>500 &amp; Below</v>
      </c>
    </row>
    <row r="844" ht="15.75" customHeight="1">
      <c r="A844" s="4" t="s">
        <v>8</v>
      </c>
      <c r="B844" s="7">
        <v>45679.0</v>
      </c>
      <c r="C844" s="4" t="s">
        <v>125</v>
      </c>
      <c r="D844" s="4" t="s">
        <v>2357</v>
      </c>
      <c r="E844" s="8">
        <v>1100.0</v>
      </c>
      <c r="F844" s="4" t="str">
        <f t="shared" si="1"/>
        <v>Above 500</v>
      </c>
    </row>
    <row r="845" ht="15.75" customHeight="1">
      <c r="A845" s="4" t="s">
        <v>8</v>
      </c>
      <c r="B845" s="7">
        <v>45679.0</v>
      </c>
      <c r="C845" s="4" t="s">
        <v>125</v>
      </c>
      <c r="D845" s="4" t="s">
        <v>79</v>
      </c>
      <c r="E845" s="8">
        <v>20.0</v>
      </c>
      <c r="F845" s="4" t="str">
        <f t="shared" si="1"/>
        <v>500 &amp; Below</v>
      </c>
    </row>
    <row r="846" ht="15.75" customHeight="1">
      <c r="A846" s="4" t="s">
        <v>8</v>
      </c>
      <c r="B846" s="7">
        <v>45680.0</v>
      </c>
      <c r="C846" s="4" t="s">
        <v>125</v>
      </c>
      <c r="D846" s="4" t="s">
        <v>18</v>
      </c>
      <c r="E846" s="8">
        <v>100.0</v>
      </c>
      <c r="F846" s="4" t="str">
        <f t="shared" si="1"/>
        <v>500 &amp; Below</v>
      </c>
    </row>
    <row r="847" ht="15.75" customHeight="1">
      <c r="A847" s="4" t="s">
        <v>8</v>
      </c>
      <c r="B847" s="7">
        <v>45680.0</v>
      </c>
      <c r="C847" s="4" t="s">
        <v>125</v>
      </c>
      <c r="D847" s="4" t="s">
        <v>119</v>
      </c>
      <c r="E847" s="8">
        <v>85.0</v>
      </c>
      <c r="F847" s="4" t="str">
        <f t="shared" si="1"/>
        <v>500 &amp; Below</v>
      </c>
    </row>
    <row r="848" ht="15.75" customHeight="1">
      <c r="A848" s="4" t="s">
        <v>8</v>
      </c>
      <c r="B848" s="7">
        <v>45680.0</v>
      </c>
      <c r="C848" s="4" t="s">
        <v>125</v>
      </c>
      <c r="D848" s="4" t="s">
        <v>928</v>
      </c>
      <c r="E848" s="8">
        <v>200.0</v>
      </c>
      <c r="F848" s="4" t="str">
        <f t="shared" si="1"/>
        <v>500 &amp; Below</v>
      </c>
    </row>
    <row r="849" ht="15.75" customHeight="1">
      <c r="A849" s="4" t="s">
        <v>8</v>
      </c>
      <c r="B849" s="7">
        <v>45680.0</v>
      </c>
      <c r="C849" s="4" t="s">
        <v>125</v>
      </c>
      <c r="D849" s="4" t="s">
        <v>2370</v>
      </c>
      <c r="E849" s="8">
        <v>188.0</v>
      </c>
      <c r="F849" s="4" t="str">
        <f t="shared" si="1"/>
        <v>500 &amp; Below</v>
      </c>
    </row>
    <row r="850" ht="15.75" customHeight="1">
      <c r="A850" s="4" t="s">
        <v>8</v>
      </c>
      <c r="B850" s="7">
        <v>45680.0</v>
      </c>
      <c r="C850" s="4" t="s">
        <v>125</v>
      </c>
      <c r="D850" s="4" t="s">
        <v>2375</v>
      </c>
      <c r="E850" s="8">
        <v>22.0</v>
      </c>
      <c r="F850" s="4" t="str">
        <f t="shared" si="1"/>
        <v>500 &amp; Below</v>
      </c>
    </row>
    <row r="851" ht="15.75" customHeight="1">
      <c r="A851" s="4" t="s">
        <v>8</v>
      </c>
      <c r="B851" s="7">
        <v>45680.0</v>
      </c>
      <c r="C851" s="4" t="s">
        <v>125</v>
      </c>
      <c r="D851" s="4" t="s">
        <v>24</v>
      </c>
      <c r="E851" s="8">
        <v>4.0</v>
      </c>
      <c r="F851" s="4" t="str">
        <f t="shared" si="1"/>
        <v>500 &amp; Below</v>
      </c>
    </row>
    <row r="852" ht="15.75" customHeight="1">
      <c r="A852" s="4" t="s">
        <v>8</v>
      </c>
      <c r="B852" s="7">
        <v>45681.0</v>
      </c>
      <c r="C852" s="4" t="s">
        <v>125</v>
      </c>
      <c r="D852" s="4" t="s">
        <v>2309</v>
      </c>
      <c r="E852" s="8">
        <v>200.0</v>
      </c>
      <c r="F852" s="4" t="str">
        <f t="shared" si="1"/>
        <v>500 &amp; Below</v>
      </c>
    </row>
    <row r="853" ht="15.75" customHeight="1">
      <c r="A853" s="4" t="s">
        <v>8</v>
      </c>
      <c r="B853" s="7">
        <v>45681.0</v>
      </c>
      <c r="C853" s="4" t="s">
        <v>125</v>
      </c>
      <c r="D853" s="4" t="s">
        <v>1261</v>
      </c>
      <c r="E853" s="8">
        <v>80.0</v>
      </c>
      <c r="F853" s="4" t="str">
        <f t="shared" si="1"/>
        <v>500 &amp; Below</v>
      </c>
    </row>
    <row r="854" ht="15.75" customHeight="1">
      <c r="A854" s="4" t="s">
        <v>8</v>
      </c>
      <c r="B854" s="7">
        <v>45681.0</v>
      </c>
      <c r="C854" s="4" t="s">
        <v>125</v>
      </c>
      <c r="D854" s="4" t="s">
        <v>115</v>
      </c>
      <c r="E854" s="8">
        <v>110.0</v>
      </c>
      <c r="F854" s="4" t="str">
        <f t="shared" si="1"/>
        <v>500 &amp; Below</v>
      </c>
    </row>
    <row r="855" ht="15.75" customHeight="1">
      <c r="A855" s="4" t="s">
        <v>8</v>
      </c>
      <c r="B855" s="7">
        <v>45682.0</v>
      </c>
      <c r="C855" s="4" t="s">
        <v>125</v>
      </c>
      <c r="D855" s="4" t="s">
        <v>826</v>
      </c>
      <c r="E855" s="8">
        <v>75.0</v>
      </c>
      <c r="F855" s="4" t="str">
        <f t="shared" si="1"/>
        <v>500 &amp; Below</v>
      </c>
    </row>
    <row r="856" ht="15.75" customHeight="1">
      <c r="A856" s="4" t="s">
        <v>8</v>
      </c>
      <c r="B856" s="7">
        <v>45682.0</v>
      </c>
      <c r="C856" s="4" t="s">
        <v>125</v>
      </c>
      <c r="D856" s="4" t="s">
        <v>1925</v>
      </c>
      <c r="E856" s="8">
        <v>80.0</v>
      </c>
      <c r="F856" s="4" t="str">
        <f t="shared" si="1"/>
        <v>500 &amp; Below</v>
      </c>
    </row>
    <row r="857" ht="15.75" customHeight="1">
      <c r="A857" s="4" t="s">
        <v>8</v>
      </c>
      <c r="B857" s="7">
        <v>45682.0</v>
      </c>
      <c r="C857" s="4" t="s">
        <v>125</v>
      </c>
      <c r="D857" s="4" t="s">
        <v>37</v>
      </c>
      <c r="E857" s="8">
        <v>19.0</v>
      </c>
      <c r="F857" s="4" t="str">
        <f t="shared" si="1"/>
        <v>500 &amp; Below</v>
      </c>
    </row>
    <row r="858" ht="15.75" customHeight="1">
      <c r="A858" s="4" t="s">
        <v>8</v>
      </c>
      <c r="B858" s="7">
        <v>45682.0</v>
      </c>
      <c r="C858" s="4" t="s">
        <v>125</v>
      </c>
      <c r="D858" s="4" t="s">
        <v>79</v>
      </c>
      <c r="E858" s="8">
        <v>20.0</v>
      </c>
      <c r="F858" s="4" t="str">
        <f t="shared" si="1"/>
        <v>500 &amp; Below</v>
      </c>
    </row>
    <row r="859" ht="15.75" customHeight="1">
      <c r="A859" s="4" t="s">
        <v>8</v>
      </c>
      <c r="B859" s="7">
        <v>45683.0</v>
      </c>
      <c r="C859" s="4" t="s">
        <v>125</v>
      </c>
      <c r="D859" s="4" t="s">
        <v>1392</v>
      </c>
      <c r="E859" s="8">
        <v>150.0</v>
      </c>
      <c r="F859" s="4" t="str">
        <f t="shared" si="1"/>
        <v>500 &amp; Below</v>
      </c>
    </row>
    <row r="860" ht="15.75" customHeight="1">
      <c r="A860" s="4" t="s">
        <v>8</v>
      </c>
      <c r="B860" s="7">
        <v>45683.0</v>
      </c>
      <c r="C860" s="4" t="s">
        <v>125</v>
      </c>
      <c r="D860" s="4" t="s">
        <v>2415</v>
      </c>
      <c r="E860" s="8">
        <v>100.0</v>
      </c>
      <c r="F860" s="4" t="str">
        <f t="shared" si="1"/>
        <v>500 &amp; Below</v>
      </c>
    </row>
    <row r="861" ht="15.75" customHeight="1">
      <c r="A861" s="4" t="s">
        <v>8</v>
      </c>
      <c r="B861" s="7">
        <v>45684.0</v>
      </c>
      <c r="C861" s="4" t="s">
        <v>125</v>
      </c>
      <c r="D861" s="4" t="s">
        <v>194</v>
      </c>
      <c r="E861" s="8">
        <v>10.0</v>
      </c>
      <c r="F861" s="4" t="str">
        <f t="shared" si="1"/>
        <v>500 &amp; Below</v>
      </c>
    </row>
    <row r="862" ht="15.75" customHeight="1">
      <c r="A862" s="4" t="s">
        <v>8</v>
      </c>
      <c r="B862" s="7">
        <v>45684.0</v>
      </c>
      <c r="C862" s="4" t="s">
        <v>125</v>
      </c>
      <c r="D862" s="4" t="s">
        <v>18</v>
      </c>
      <c r="E862" s="8">
        <v>167.97</v>
      </c>
      <c r="F862" s="4" t="str">
        <f t="shared" si="1"/>
        <v>500 &amp; Below</v>
      </c>
    </row>
    <row r="863" ht="15.75" customHeight="1">
      <c r="A863" s="4" t="s">
        <v>8</v>
      </c>
      <c r="B863" s="7">
        <v>45684.0</v>
      </c>
      <c r="C863" s="4" t="s">
        <v>125</v>
      </c>
      <c r="D863" s="4" t="s">
        <v>2426</v>
      </c>
      <c r="E863" s="8">
        <v>50.0</v>
      </c>
      <c r="F863" s="4" t="str">
        <f t="shared" si="1"/>
        <v>500 &amp; Below</v>
      </c>
    </row>
    <row r="864" ht="15.75" customHeight="1">
      <c r="A864" s="4" t="s">
        <v>8</v>
      </c>
      <c r="B864" s="7">
        <v>45685.0</v>
      </c>
      <c r="C864" s="4" t="s">
        <v>125</v>
      </c>
      <c r="D864" s="4" t="s">
        <v>2431</v>
      </c>
      <c r="E864" s="8">
        <v>60.0</v>
      </c>
      <c r="F864" s="4" t="str">
        <f t="shared" si="1"/>
        <v>500 &amp; Below</v>
      </c>
    </row>
    <row r="865" ht="15.75" customHeight="1">
      <c r="A865" s="4" t="s">
        <v>8</v>
      </c>
      <c r="B865" s="7">
        <v>45685.0</v>
      </c>
      <c r="C865" s="4" t="s">
        <v>125</v>
      </c>
      <c r="D865" s="4" t="s">
        <v>28</v>
      </c>
      <c r="E865" s="8">
        <v>2200.0</v>
      </c>
      <c r="F865" s="4" t="str">
        <f t="shared" si="1"/>
        <v>Above 500</v>
      </c>
    </row>
    <row r="866" ht="15.75" customHeight="1">
      <c r="A866" s="4" t="s">
        <v>8</v>
      </c>
      <c r="B866" s="7">
        <v>45685.0</v>
      </c>
      <c r="C866" s="4" t="s">
        <v>125</v>
      </c>
      <c r="D866" s="4" t="s">
        <v>632</v>
      </c>
      <c r="E866" s="8">
        <v>120.0</v>
      </c>
      <c r="F866" s="4" t="str">
        <f t="shared" si="1"/>
        <v>500 &amp; Below</v>
      </c>
    </row>
    <row r="867" ht="15.75" customHeight="1">
      <c r="A867" s="4" t="s">
        <v>8</v>
      </c>
      <c r="B867" s="7">
        <v>45685.0</v>
      </c>
      <c r="C867" s="4" t="s">
        <v>125</v>
      </c>
      <c r="D867" s="4" t="s">
        <v>48</v>
      </c>
      <c r="E867" s="8">
        <v>240.0</v>
      </c>
      <c r="F867" s="4" t="str">
        <f t="shared" si="1"/>
        <v>500 &amp; Below</v>
      </c>
    </row>
    <row r="868" ht="15.75" customHeight="1">
      <c r="A868" s="4" t="s">
        <v>8</v>
      </c>
      <c r="B868" s="7">
        <v>45685.0</v>
      </c>
      <c r="C868" s="4" t="s">
        <v>125</v>
      </c>
      <c r="D868" s="4" t="s">
        <v>2443</v>
      </c>
      <c r="E868" s="8">
        <v>399.12</v>
      </c>
      <c r="F868" s="4" t="str">
        <f t="shared" si="1"/>
        <v>500 &amp; Below</v>
      </c>
    </row>
    <row r="869" ht="15.75" customHeight="1">
      <c r="A869" s="4" t="s">
        <v>8</v>
      </c>
      <c r="B869" s="7">
        <v>45686.0</v>
      </c>
      <c r="C869" s="4" t="s">
        <v>125</v>
      </c>
      <c r="D869" s="4" t="s">
        <v>2055</v>
      </c>
      <c r="E869" s="8">
        <v>60.0</v>
      </c>
      <c r="F869" s="4" t="str">
        <f t="shared" si="1"/>
        <v>500 &amp; Below</v>
      </c>
    </row>
    <row r="870" ht="15.75" customHeight="1">
      <c r="A870" s="4" t="s">
        <v>8</v>
      </c>
      <c r="B870" s="7">
        <v>45686.0</v>
      </c>
      <c r="C870" s="4" t="s">
        <v>125</v>
      </c>
      <c r="D870" s="4" t="s">
        <v>25</v>
      </c>
      <c r="E870" s="8">
        <v>20.0</v>
      </c>
      <c r="F870" s="4" t="str">
        <f t="shared" si="1"/>
        <v>500 &amp; Below</v>
      </c>
    </row>
    <row r="871" ht="15.75" customHeight="1">
      <c r="A871" s="4" t="s">
        <v>8</v>
      </c>
      <c r="B871" s="7">
        <v>45686.0</v>
      </c>
      <c r="C871" s="4" t="s">
        <v>125</v>
      </c>
      <c r="D871" s="4" t="s">
        <v>989</v>
      </c>
      <c r="E871" s="8">
        <v>1100.0</v>
      </c>
      <c r="F871" s="4" t="str">
        <f t="shared" si="1"/>
        <v>Above 500</v>
      </c>
    </row>
    <row r="872" ht="15.75" customHeight="1">
      <c r="A872" s="4" t="s">
        <v>8</v>
      </c>
      <c r="B872" s="7">
        <v>45686.0</v>
      </c>
      <c r="C872" s="4" t="s">
        <v>125</v>
      </c>
      <c r="D872" s="4" t="s">
        <v>2455</v>
      </c>
      <c r="E872" s="8">
        <v>220.0</v>
      </c>
      <c r="F872" s="4" t="str">
        <f t="shared" si="1"/>
        <v>500 &amp; Below</v>
      </c>
    </row>
    <row r="873" ht="15.75" customHeight="1">
      <c r="A873" s="4" t="s">
        <v>8</v>
      </c>
      <c r="B873" s="7">
        <v>45686.0</v>
      </c>
      <c r="C873" s="4" t="s">
        <v>125</v>
      </c>
      <c r="D873" s="4" t="s">
        <v>2458</v>
      </c>
      <c r="E873" s="8">
        <v>430.0</v>
      </c>
      <c r="F873" s="4" t="str">
        <f t="shared" si="1"/>
        <v>500 &amp; Below</v>
      </c>
    </row>
    <row r="874" ht="15.75" customHeight="1">
      <c r="A874" s="4" t="s">
        <v>8</v>
      </c>
      <c r="B874" s="7">
        <v>45686.0</v>
      </c>
      <c r="C874" s="4" t="s">
        <v>125</v>
      </c>
      <c r="D874" s="4" t="s">
        <v>2461</v>
      </c>
      <c r="E874" s="8">
        <v>100.0</v>
      </c>
      <c r="F874" s="4" t="str">
        <f t="shared" si="1"/>
        <v>500 &amp; Below</v>
      </c>
    </row>
    <row r="875" ht="15.75" customHeight="1">
      <c r="A875" s="4" t="s">
        <v>8</v>
      </c>
      <c r="B875" s="7">
        <v>45686.0</v>
      </c>
      <c r="C875" s="4" t="s">
        <v>125</v>
      </c>
      <c r="D875" s="4" t="s">
        <v>2465</v>
      </c>
      <c r="E875" s="8">
        <v>2846.0</v>
      </c>
      <c r="F875" s="4" t="str">
        <f t="shared" si="1"/>
        <v>Above 500</v>
      </c>
    </row>
    <row r="876" ht="15.75" customHeight="1">
      <c r="A876" s="4" t="s">
        <v>8</v>
      </c>
      <c r="B876" s="7">
        <v>45686.0</v>
      </c>
      <c r="C876" s="4" t="s">
        <v>125</v>
      </c>
      <c r="D876" s="4" t="s">
        <v>2468</v>
      </c>
      <c r="E876" s="8">
        <v>380.0</v>
      </c>
      <c r="F876" s="4" t="str">
        <f t="shared" si="1"/>
        <v>500 &amp; Below</v>
      </c>
    </row>
    <row r="877" ht="15.75" customHeight="1">
      <c r="A877" s="4" t="s">
        <v>8</v>
      </c>
      <c r="B877" s="7">
        <v>45686.0</v>
      </c>
      <c r="C877" s="4" t="s">
        <v>125</v>
      </c>
      <c r="D877" s="4" t="s">
        <v>2469</v>
      </c>
      <c r="E877" s="8">
        <v>103.0</v>
      </c>
      <c r="F877" s="4" t="str">
        <f t="shared" si="1"/>
        <v>500 &amp; Below</v>
      </c>
    </row>
    <row r="878" ht="15.75" customHeight="1">
      <c r="A878" s="4" t="s">
        <v>8</v>
      </c>
      <c r="B878" s="7">
        <v>45686.0</v>
      </c>
      <c r="C878" s="4" t="s">
        <v>125</v>
      </c>
      <c r="D878" s="4" t="s">
        <v>45</v>
      </c>
      <c r="E878" s="8">
        <v>1106.0</v>
      </c>
      <c r="F878" s="4" t="str">
        <f t="shared" si="1"/>
        <v>Above 500</v>
      </c>
    </row>
    <row r="879" ht="15.75" customHeight="1">
      <c r="A879" s="4" t="s">
        <v>8</v>
      </c>
      <c r="B879" s="7">
        <v>45686.0</v>
      </c>
      <c r="C879" s="4" t="s">
        <v>125</v>
      </c>
      <c r="D879" s="4" t="s">
        <v>1933</v>
      </c>
      <c r="E879" s="8">
        <v>30.0</v>
      </c>
      <c r="F879" s="4" t="str">
        <f t="shared" si="1"/>
        <v>500 &amp; Below</v>
      </c>
    </row>
    <row r="880" ht="15.75" customHeight="1">
      <c r="A880" s="4" t="s">
        <v>8</v>
      </c>
      <c r="B880" s="7">
        <v>45687.0</v>
      </c>
      <c r="C880" s="4" t="s">
        <v>125</v>
      </c>
      <c r="D880" s="4" t="s">
        <v>56</v>
      </c>
      <c r="E880" s="8">
        <v>336.0</v>
      </c>
      <c r="F880" s="4" t="str">
        <f t="shared" si="1"/>
        <v>500 &amp; Below</v>
      </c>
    </row>
    <row r="881" ht="15.75" customHeight="1">
      <c r="A881" s="4" t="s">
        <v>8</v>
      </c>
      <c r="B881" s="7">
        <v>45687.0</v>
      </c>
      <c r="C881" s="4" t="s">
        <v>125</v>
      </c>
      <c r="D881" s="4" t="s">
        <v>1012</v>
      </c>
      <c r="E881" s="8">
        <v>500.0</v>
      </c>
      <c r="F881" s="4" t="str">
        <f t="shared" si="1"/>
        <v>500 &amp; Below</v>
      </c>
    </row>
    <row r="882" ht="15.75" customHeight="1">
      <c r="A882" s="4" t="s">
        <v>8</v>
      </c>
      <c r="B882" s="7">
        <v>45687.0</v>
      </c>
      <c r="C882" s="4" t="s">
        <v>125</v>
      </c>
      <c r="D882" s="4" t="s">
        <v>2472</v>
      </c>
      <c r="E882" s="8">
        <v>50.0</v>
      </c>
      <c r="F882" s="4" t="str">
        <f t="shared" si="1"/>
        <v>500 &amp; Below</v>
      </c>
    </row>
    <row r="883" ht="15.75" customHeight="1">
      <c r="A883" s="4" t="s">
        <v>8</v>
      </c>
      <c r="B883" s="7">
        <v>45688.0</v>
      </c>
      <c r="C883" s="4" t="s">
        <v>125</v>
      </c>
      <c r="D883" s="4" t="s">
        <v>194</v>
      </c>
      <c r="E883" s="8">
        <v>5.0</v>
      </c>
      <c r="F883" s="4" t="str">
        <f t="shared" si="1"/>
        <v>500 &amp; Below</v>
      </c>
    </row>
    <row r="884" ht="15.75" customHeight="1">
      <c r="A884" s="4" t="s">
        <v>8</v>
      </c>
      <c r="B884" s="7">
        <v>45688.0</v>
      </c>
      <c r="C884" s="4" t="s">
        <v>125</v>
      </c>
      <c r="D884" s="4" t="s">
        <v>194</v>
      </c>
      <c r="E884" s="8">
        <v>25.0</v>
      </c>
      <c r="F884" s="4" t="str">
        <f t="shared" si="1"/>
        <v>500 &amp; Below</v>
      </c>
    </row>
    <row r="885" ht="15.75" customHeight="1">
      <c r="A885" s="4" t="s">
        <v>8</v>
      </c>
      <c r="B885" s="7">
        <v>45688.0</v>
      </c>
      <c r="C885" s="4" t="s">
        <v>125</v>
      </c>
      <c r="D885" s="4" t="s">
        <v>121</v>
      </c>
      <c r="E885" s="8">
        <v>10.0</v>
      </c>
      <c r="F885" s="4" t="str">
        <f t="shared" si="1"/>
        <v>500 &amp; Below</v>
      </c>
    </row>
    <row r="886" ht="15.75" customHeight="1">
      <c r="A886" s="4" t="s">
        <v>8</v>
      </c>
      <c r="B886" s="7">
        <v>45688.0</v>
      </c>
      <c r="C886" s="4" t="s">
        <v>125</v>
      </c>
      <c r="D886" s="4" t="s">
        <v>2478</v>
      </c>
      <c r="E886" s="8">
        <v>120.0</v>
      </c>
      <c r="F886" s="4" t="str">
        <f t="shared" si="1"/>
        <v>500 &amp; Below</v>
      </c>
    </row>
    <row r="887" ht="15.75" customHeight="1">
      <c r="A887" s="4" t="s">
        <v>8</v>
      </c>
      <c r="B887" s="7">
        <v>45688.0</v>
      </c>
      <c r="C887" s="4" t="s">
        <v>125</v>
      </c>
      <c r="D887" s="4" t="s">
        <v>102</v>
      </c>
      <c r="E887" s="8">
        <v>140.0</v>
      </c>
      <c r="F887" s="4" t="str">
        <f t="shared" si="1"/>
        <v>500 &amp; Below</v>
      </c>
    </row>
    <row r="888" ht="15.75" customHeight="1">
      <c r="A888" s="4" t="s">
        <v>8</v>
      </c>
      <c r="B888" s="7">
        <v>45688.0</v>
      </c>
      <c r="C888" s="4" t="s">
        <v>125</v>
      </c>
      <c r="D888" s="4" t="s">
        <v>2482</v>
      </c>
      <c r="E888" s="8">
        <v>10.0</v>
      </c>
      <c r="F888" s="4" t="str">
        <f t="shared" si="1"/>
        <v>500 &amp; Below</v>
      </c>
    </row>
    <row r="889" ht="15.75" customHeight="1">
      <c r="A889" s="4" t="s">
        <v>8</v>
      </c>
      <c r="B889" s="7">
        <v>45689.0</v>
      </c>
      <c r="C889" s="4" t="s">
        <v>140</v>
      </c>
      <c r="D889" s="4" t="s">
        <v>2486</v>
      </c>
      <c r="E889" s="8">
        <v>80.0</v>
      </c>
      <c r="F889" s="4" t="str">
        <f t="shared" si="1"/>
        <v>500 &amp; Below</v>
      </c>
    </row>
    <row r="890" ht="15.75" customHeight="1">
      <c r="A890" s="4" t="s">
        <v>8</v>
      </c>
      <c r="B890" s="7">
        <v>45689.0</v>
      </c>
      <c r="C890" s="4" t="s">
        <v>140</v>
      </c>
      <c r="D890" s="4" t="s">
        <v>1365</v>
      </c>
      <c r="E890" s="8">
        <v>45.0</v>
      </c>
      <c r="F890" s="4" t="str">
        <f t="shared" si="1"/>
        <v>500 &amp; Below</v>
      </c>
    </row>
    <row r="891" ht="15.75" customHeight="1">
      <c r="A891" s="4" t="s">
        <v>8</v>
      </c>
      <c r="B891" s="7">
        <v>45689.0</v>
      </c>
      <c r="C891" s="4" t="s">
        <v>140</v>
      </c>
      <c r="D891" s="4" t="s">
        <v>532</v>
      </c>
      <c r="E891" s="8">
        <v>217.0</v>
      </c>
      <c r="F891" s="4" t="str">
        <f t="shared" si="1"/>
        <v>500 &amp; Below</v>
      </c>
    </row>
    <row r="892" ht="15.75" customHeight="1">
      <c r="A892" s="4" t="s">
        <v>8</v>
      </c>
      <c r="B892" s="7">
        <v>45689.0</v>
      </c>
      <c r="C892" s="4" t="s">
        <v>140</v>
      </c>
      <c r="D892" s="4" t="s">
        <v>18</v>
      </c>
      <c r="E892" s="8">
        <v>94.1</v>
      </c>
      <c r="F892" s="4" t="str">
        <f t="shared" si="1"/>
        <v>500 &amp; Below</v>
      </c>
    </row>
    <row r="893" ht="15.75" customHeight="1">
      <c r="A893" s="4" t="s">
        <v>8</v>
      </c>
      <c r="B893" s="7">
        <v>45689.0</v>
      </c>
      <c r="C893" s="4" t="s">
        <v>140</v>
      </c>
      <c r="D893" s="4" t="s">
        <v>2504</v>
      </c>
      <c r="E893" s="8">
        <v>20.0</v>
      </c>
      <c r="F893" s="4" t="str">
        <f t="shared" si="1"/>
        <v>500 &amp; Below</v>
      </c>
    </row>
    <row r="894" ht="15.75" customHeight="1">
      <c r="A894" s="4" t="s">
        <v>8</v>
      </c>
      <c r="B894" s="7">
        <v>45689.0</v>
      </c>
      <c r="C894" s="4" t="s">
        <v>140</v>
      </c>
      <c r="D894" s="4" t="s">
        <v>826</v>
      </c>
      <c r="E894" s="8">
        <v>85.0</v>
      </c>
      <c r="F894" s="4" t="str">
        <f t="shared" si="1"/>
        <v>500 &amp; Below</v>
      </c>
    </row>
    <row r="895" ht="15.75" customHeight="1">
      <c r="A895" s="4" t="s">
        <v>8</v>
      </c>
      <c r="B895" s="7">
        <v>45689.0</v>
      </c>
      <c r="C895" s="4" t="s">
        <v>140</v>
      </c>
      <c r="D895" s="4" t="s">
        <v>103</v>
      </c>
      <c r="E895" s="8">
        <v>190.0</v>
      </c>
      <c r="F895" s="4" t="str">
        <f t="shared" si="1"/>
        <v>500 &amp; Below</v>
      </c>
    </row>
    <row r="896" ht="15.75" customHeight="1">
      <c r="A896" s="4" t="s">
        <v>8</v>
      </c>
      <c r="B896" s="7">
        <v>45689.0</v>
      </c>
      <c r="C896" s="4" t="s">
        <v>140</v>
      </c>
      <c r="D896" s="4" t="s">
        <v>103</v>
      </c>
      <c r="E896" s="8">
        <v>215.0</v>
      </c>
      <c r="F896" s="4" t="str">
        <f t="shared" si="1"/>
        <v>500 &amp; Below</v>
      </c>
    </row>
    <row r="897" ht="15.75" customHeight="1">
      <c r="A897" s="4" t="s">
        <v>8</v>
      </c>
      <c r="B897" s="7">
        <v>45689.0</v>
      </c>
      <c r="C897" s="4" t="s">
        <v>140</v>
      </c>
      <c r="D897" s="4" t="s">
        <v>102</v>
      </c>
      <c r="E897" s="8">
        <v>48.0</v>
      </c>
      <c r="F897" s="4" t="str">
        <f t="shared" si="1"/>
        <v>500 &amp; Below</v>
      </c>
    </row>
    <row r="898" ht="15.75" customHeight="1">
      <c r="A898" s="4" t="s">
        <v>8</v>
      </c>
      <c r="B898" s="7">
        <v>45689.0</v>
      </c>
      <c r="C898" s="4" t="s">
        <v>140</v>
      </c>
      <c r="D898" s="4" t="s">
        <v>2519</v>
      </c>
      <c r="E898" s="8">
        <v>8.0</v>
      </c>
      <c r="F898" s="4" t="str">
        <f t="shared" si="1"/>
        <v>500 &amp; Below</v>
      </c>
    </row>
    <row r="899" ht="15.75" customHeight="1">
      <c r="A899" s="4" t="s">
        <v>8</v>
      </c>
      <c r="B899" s="7">
        <v>45690.0</v>
      </c>
      <c r="C899" s="4" t="s">
        <v>140</v>
      </c>
      <c r="D899" s="4" t="s">
        <v>2525</v>
      </c>
      <c r="E899" s="8">
        <v>500.0</v>
      </c>
      <c r="F899" s="4" t="str">
        <f t="shared" si="1"/>
        <v>500 &amp; Below</v>
      </c>
    </row>
    <row r="900" ht="15.75" customHeight="1">
      <c r="A900" s="4" t="s">
        <v>8</v>
      </c>
      <c r="B900" s="7">
        <v>45690.0</v>
      </c>
      <c r="C900" s="4" t="s">
        <v>140</v>
      </c>
      <c r="D900" s="4" t="s">
        <v>106</v>
      </c>
      <c r="E900" s="8">
        <v>10.0</v>
      </c>
      <c r="F900" s="4" t="str">
        <f t="shared" si="1"/>
        <v>500 &amp; Below</v>
      </c>
    </row>
    <row r="901" ht="15.75" customHeight="1">
      <c r="A901" s="4" t="s">
        <v>8</v>
      </c>
      <c r="B901" s="7">
        <v>45690.0</v>
      </c>
      <c r="C901" s="4" t="s">
        <v>140</v>
      </c>
      <c r="D901" s="4" t="s">
        <v>79</v>
      </c>
      <c r="E901" s="8">
        <v>20.0</v>
      </c>
      <c r="F901" s="4" t="str">
        <f t="shared" si="1"/>
        <v>500 &amp; Below</v>
      </c>
    </row>
    <row r="902" ht="15.75" customHeight="1">
      <c r="A902" s="4" t="s">
        <v>8</v>
      </c>
      <c r="B902" s="7">
        <v>45691.0</v>
      </c>
      <c r="C902" s="4" t="s">
        <v>140</v>
      </c>
      <c r="D902" s="4" t="s">
        <v>1392</v>
      </c>
      <c r="E902" s="8">
        <v>150.0</v>
      </c>
      <c r="F902" s="4" t="str">
        <f t="shared" si="1"/>
        <v>500 &amp; Below</v>
      </c>
    </row>
    <row r="903" ht="15.75" customHeight="1">
      <c r="A903" s="4" t="s">
        <v>8</v>
      </c>
      <c r="B903" s="7">
        <v>45692.0</v>
      </c>
      <c r="C903" s="4" t="s">
        <v>140</v>
      </c>
      <c r="D903" s="4" t="s">
        <v>282</v>
      </c>
      <c r="E903" s="8">
        <v>25.0</v>
      </c>
      <c r="F903" s="4" t="str">
        <f t="shared" si="1"/>
        <v>500 &amp; Below</v>
      </c>
    </row>
    <row r="904" ht="15.75" customHeight="1">
      <c r="A904" s="4" t="s">
        <v>8</v>
      </c>
      <c r="B904" s="7">
        <v>45692.0</v>
      </c>
      <c r="C904" s="4" t="s">
        <v>140</v>
      </c>
      <c r="D904" s="4" t="s">
        <v>194</v>
      </c>
      <c r="E904" s="8">
        <v>30.0</v>
      </c>
      <c r="F904" s="4" t="str">
        <f t="shared" si="1"/>
        <v>500 &amp; Below</v>
      </c>
    </row>
    <row r="905" ht="15.75" customHeight="1">
      <c r="A905" s="4" t="s">
        <v>8</v>
      </c>
      <c r="B905" s="7">
        <v>45693.0</v>
      </c>
      <c r="C905" s="4" t="s">
        <v>140</v>
      </c>
      <c r="D905" s="4" t="s">
        <v>1698</v>
      </c>
      <c r="E905" s="8">
        <v>675.81</v>
      </c>
      <c r="F905" s="4" t="str">
        <f t="shared" si="1"/>
        <v>Above 500</v>
      </c>
    </row>
    <row r="906" ht="15.75" customHeight="1">
      <c r="A906" s="4" t="s">
        <v>8</v>
      </c>
      <c r="B906" s="7">
        <v>45693.0</v>
      </c>
      <c r="C906" s="4" t="s">
        <v>140</v>
      </c>
      <c r="D906" s="4" t="s">
        <v>119</v>
      </c>
      <c r="E906" s="8">
        <v>55.0</v>
      </c>
      <c r="F906" s="4" t="str">
        <f t="shared" si="1"/>
        <v>500 &amp; Below</v>
      </c>
    </row>
    <row r="907" ht="15.75" customHeight="1">
      <c r="A907" s="4" t="s">
        <v>8</v>
      </c>
      <c r="B907" s="7">
        <v>45693.0</v>
      </c>
      <c r="C907" s="4" t="s">
        <v>140</v>
      </c>
      <c r="D907" s="4" t="s">
        <v>928</v>
      </c>
      <c r="E907" s="8">
        <v>135.0</v>
      </c>
      <c r="F907" s="4" t="str">
        <f t="shared" si="1"/>
        <v>500 &amp; Below</v>
      </c>
    </row>
    <row r="908" ht="15.75" customHeight="1">
      <c r="A908" s="4" t="s">
        <v>8</v>
      </c>
      <c r="B908" s="7">
        <v>45693.0</v>
      </c>
      <c r="C908" s="4" t="s">
        <v>140</v>
      </c>
      <c r="D908" s="4" t="s">
        <v>2559</v>
      </c>
      <c r="E908" s="8">
        <v>20.0</v>
      </c>
      <c r="F908" s="4" t="str">
        <f t="shared" si="1"/>
        <v>500 &amp; Below</v>
      </c>
    </row>
    <row r="909" ht="15.75" customHeight="1">
      <c r="A909" s="4" t="s">
        <v>8</v>
      </c>
      <c r="B909" s="7">
        <v>45693.0</v>
      </c>
      <c r="C909" s="4" t="s">
        <v>140</v>
      </c>
      <c r="D909" s="4" t="s">
        <v>2564</v>
      </c>
      <c r="E909" s="8">
        <v>20.0</v>
      </c>
      <c r="F909" s="4" t="str">
        <f t="shared" si="1"/>
        <v>500 &amp; Below</v>
      </c>
    </row>
    <row r="910" ht="15.75" customHeight="1">
      <c r="A910" s="4" t="s">
        <v>8</v>
      </c>
      <c r="B910" s="7">
        <v>45694.0</v>
      </c>
      <c r="C910" s="4" t="s">
        <v>140</v>
      </c>
      <c r="D910" s="4" t="s">
        <v>2565</v>
      </c>
      <c r="E910" s="8">
        <v>489.0</v>
      </c>
      <c r="F910" s="4" t="str">
        <f t="shared" si="1"/>
        <v>500 &amp; Below</v>
      </c>
    </row>
    <row r="911" ht="15.75" customHeight="1">
      <c r="A911" s="4" t="s">
        <v>8</v>
      </c>
      <c r="B911" s="7">
        <v>45694.0</v>
      </c>
      <c r="C911" s="4" t="s">
        <v>140</v>
      </c>
      <c r="D911" s="4" t="s">
        <v>366</v>
      </c>
      <c r="E911" s="8">
        <v>30.0</v>
      </c>
      <c r="F911" s="4" t="str">
        <f t="shared" si="1"/>
        <v>500 &amp; Below</v>
      </c>
    </row>
    <row r="912" ht="15.75" customHeight="1">
      <c r="A912" s="4" t="s">
        <v>8</v>
      </c>
      <c r="B912" s="7">
        <v>45694.0</v>
      </c>
      <c r="C912" s="4" t="s">
        <v>140</v>
      </c>
      <c r="D912" s="4" t="s">
        <v>119</v>
      </c>
      <c r="E912" s="8">
        <v>510.0</v>
      </c>
      <c r="F912" s="4" t="str">
        <f t="shared" si="1"/>
        <v>Above 500</v>
      </c>
    </row>
    <row r="913" ht="15.75" customHeight="1">
      <c r="A913" s="4" t="s">
        <v>8</v>
      </c>
      <c r="B913" s="7">
        <v>45694.0</v>
      </c>
      <c r="C913" s="4" t="s">
        <v>140</v>
      </c>
      <c r="D913" s="4" t="s">
        <v>37</v>
      </c>
      <c r="E913" s="8">
        <v>349.0</v>
      </c>
      <c r="F913" s="4" t="str">
        <f t="shared" si="1"/>
        <v>500 &amp; Below</v>
      </c>
    </row>
    <row r="914" ht="15.75" customHeight="1">
      <c r="A914" s="4" t="s">
        <v>8</v>
      </c>
      <c r="B914" s="7">
        <v>45694.0</v>
      </c>
      <c r="C914" s="4" t="s">
        <v>140</v>
      </c>
      <c r="D914" s="4" t="s">
        <v>106</v>
      </c>
      <c r="E914" s="8">
        <v>30.0</v>
      </c>
      <c r="F914" s="4" t="str">
        <f t="shared" si="1"/>
        <v>500 &amp; Below</v>
      </c>
    </row>
    <row r="915" ht="15.75" customHeight="1">
      <c r="A915" s="4" t="s">
        <v>8</v>
      </c>
      <c r="B915" s="7">
        <v>45697.0</v>
      </c>
      <c r="C915" s="4" t="s">
        <v>140</v>
      </c>
      <c r="D915" s="4" t="s">
        <v>375</v>
      </c>
      <c r="E915" s="8">
        <v>145.0</v>
      </c>
      <c r="F915" s="4" t="str">
        <f t="shared" si="1"/>
        <v>500 &amp; Below</v>
      </c>
    </row>
    <row r="916" ht="15.75" customHeight="1">
      <c r="A916" s="4" t="s">
        <v>8</v>
      </c>
      <c r="B916" s="7">
        <v>45697.0</v>
      </c>
      <c r="C916" s="4" t="s">
        <v>140</v>
      </c>
      <c r="D916" s="4" t="s">
        <v>106</v>
      </c>
      <c r="E916" s="8">
        <v>45.0</v>
      </c>
      <c r="F916" s="4" t="str">
        <f t="shared" si="1"/>
        <v>500 &amp; Below</v>
      </c>
    </row>
    <row r="917" ht="15.75" customHeight="1">
      <c r="A917" s="4" t="s">
        <v>8</v>
      </c>
      <c r="B917" s="7">
        <v>45698.0</v>
      </c>
      <c r="C917" s="4" t="s">
        <v>140</v>
      </c>
      <c r="D917" s="4" t="s">
        <v>194</v>
      </c>
      <c r="E917" s="8">
        <v>10.0</v>
      </c>
      <c r="F917" s="4" t="str">
        <f t="shared" si="1"/>
        <v>500 &amp; Below</v>
      </c>
    </row>
    <row r="918" ht="15.75" customHeight="1">
      <c r="A918" s="4" t="s">
        <v>8</v>
      </c>
      <c r="B918" s="7">
        <v>45698.0</v>
      </c>
      <c r="C918" s="4" t="s">
        <v>140</v>
      </c>
      <c r="D918" s="4" t="s">
        <v>28</v>
      </c>
      <c r="E918" s="8">
        <v>8.0</v>
      </c>
      <c r="F918" s="4" t="str">
        <f t="shared" si="1"/>
        <v>500 &amp; Below</v>
      </c>
    </row>
    <row r="919" ht="15.75" customHeight="1">
      <c r="A919" s="4" t="s">
        <v>8</v>
      </c>
      <c r="B919" s="7">
        <v>45698.0</v>
      </c>
      <c r="C919" s="4" t="s">
        <v>140</v>
      </c>
      <c r="D919" s="4" t="s">
        <v>106</v>
      </c>
      <c r="E919" s="8">
        <v>10.0</v>
      </c>
      <c r="F919" s="4" t="str">
        <f t="shared" si="1"/>
        <v>500 &amp; Below</v>
      </c>
    </row>
    <row r="920" ht="15.75" customHeight="1">
      <c r="A920" s="4" t="s">
        <v>8</v>
      </c>
      <c r="B920" s="7">
        <v>45699.0</v>
      </c>
      <c r="C920" s="4" t="s">
        <v>140</v>
      </c>
      <c r="D920" s="4" t="s">
        <v>2584</v>
      </c>
      <c r="E920" s="8">
        <v>103.0</v>
      </c>
      <c r="F920" s="4" t="str">
        <f t="shared" si="1"/>
        <v>500 &amp; Below</v>
      </c>
    </row>
    <row r="921" ht="15.75" customHeight="1">
      <c r="A921" s="4" t="s">
        <v>8</v>
      </c>
      <c r="B921" s="7">
        <v>45699.0</v>
      </c>
      <c r="C921" s="4" t="s">
        <v>140</v>
      </c>
      <c r="D921" s="4" t="s">
        <v>2587</v>
      </c>
      <c r="E921" s="8">
        <v>104.0</v>
      </c>
      <c r="F921" s="4" t="str">
        <f t="shared" si="1"/>
        <v>500 &amp; Below</v>
      </c>
    </row>
    <row r="922" ht="15.75" customHeight="1">
      <c r="A922" s="4" t="s">
        <v>8</v>
      </c>
      <c r="B922" s="7">
        <v>45699.0</v>
      </c>
      <c r="C922" s="4" t="s">
        <v>140</v>
      </c>
      <c r="D922" s="4" t="s">
        <v>2591</v>
      </c>
      <c r="E922" s="8">
        <v>1500.0</v>
      </c>
      <c r="F922" s="4" t="str">
        <f t="shared" si="1"/>
        <v>Above 500</v>
      </c>
    </row>
    <row r="923" ht="15.75" customHeight="1">
      <c r="A923" s="4" t="s">
        <v>8</v>
      </c>
      <c r="B923" s="7">
        <v>45699.0</v>
      </c>
      <c r="C923" s="4" t="s">
        <v>140</v>
      </c>
      <c r="D923" s="4" t="s">
        <v>2597</v>
      </c>
      <c r="E923" s="8">
        <v>1800.0</v>
      </c>
      <c r="F923" s="4" t="str">
        <f t="shared" si="1"/>
        <v>Above 500</v>
      </c>
    </row>
    <row r="924" ht="15.75" customHeight="1">
      <c r="A924" s="4" t="s">
        <v>8</v>
      </c>
      <c r="B924" s="7">
        <v>45699.0</v>
      </c>
      <c r="C924" s="4" t="s">
        <v>140</v>
      </c>
      <c r="D924" s="4" t="s">
        <v>2600</v>
      </c>
      <c r="E924" s="8">
        <v>100.0</v>
      </c>
      <c r="F924" s="4" t="str">
        <f t="shared" si="1"/>
        <v>500 &amp; Below</v>
      </c>
    </row>
    <row r="925" ht="15.75" customHeight="1">
      <c r="A925" s="4" t="s">
        <v>8</v>
      </c>
      <c r="B925" s="7">
        <v>45700.0</v>
      </c>
      <c r="C925" s="4" t="s">
        <v>140</v>
      </c>
      <c r="D925" s="4" t="s">
        <v>79</v>
      </c>
      <c r="E925" s="8">
        <v>25.0</v>
      </c>
      <c r="F925" s="4" t="str">
        <f t="shared" si="1"/>
        <v>500 &amp; Below</v>
      </c>
    </row>
    <row r="926" ht="15.75" customHeight="1">
      <c r="A926" s="4" t="s">
        <v>8</v>
      </c>
      <c r="B926" s="7">
        <v>45700.0</v>
      </c>
      <c r="C926" s="4" t="s">
        <v>140</v>
      </c>
      <c r="D926" s="4" t="s">
        <v>2605</v>
      </c>
      <c r="E926" s="8">
        <v>157.0</v>
      </c>
      <c r="F926" s="4" t="str">
        <f t="shared" si="1"/>
        <v>500 &amp; Below</v>
      </c>
    </row>
    <row r="927" ht="15.75" customHeight="1">
      <c r="A927" s="4" t="s">
        <v>8</v>
      </c>
      <c r="B927" s="7">
        <v>45701.0</v>
      </c>
      <c r="C927" s="4" t="s">
        <v>140</v>
      </c>
      <c r="D927" s="4" t="s">
        <v>194</v>
      </c>
      <c r="E927" s="8">
        <v>30.0</v>
      </c>
      <c r="F927" s="4" t="str">
        <f t="shared" si="1"/>
        <v>500 &amp; Below</v>
      </c>
    </row>
    <row r="928" ht="15.75" customHeight="1">
      <c r="A928" s="4" t="s">
        <v>8</v>
      </c>
      <c r="B928" s="7">
        <v>45701.0</v>
      </c>
      <c r="C928" s="4" t="s">
        <v>140</v>
      </c>
      <c r="D928" s="4" t="s">
        <v>2607</v>
      </c>
      <c r="E928" s="8">
        <v>40.0</v>
      </c>
      <c r="F928" s="4" t="str">
        <f t="shared" si="1"/>
        <v>500 &amp; Below</v>
      </c>
    </row>
    <row r="929" ht="15.75" customHeight="1">
      <c r="A929" s="4" t="s">
        <v>8</v>
      </c>
      <c r="B929" s="7">
        <v>45701.0</v>
      </c>
      <c r="C929" s="4" t="s">
        <v>140</v>
      </c>
      <c r="D929" s="4" t="s">
        <v>1392</v>
      </c>
      <c r="E929" s="8">
        <v>433.0</v>
      </c>
      <c r="F929" s="4" t="str">
        <f t="shared" si="1"/>
        <v>500 &amp; Below</v>
      </c>
    </row>
    <row r="930" ht="15.75" customHeight="1">
      <c r="A930" s="4" t="s">
        <v>8</v>
      </c>
      <c r="B930" s="7">
        <v>45702.0</v>
      </c>
      <c r="C930" s="4" t="s">
        <v>140</v>
      </c>
      <c r="D930" s="4" t="s">
        <v>2611</v>
      </c>
      <c r="E930" s="8">
        <v>50.0</v>
      </c>
      <c r="F930" s="4" t="str">
        <f t="shared" si="1"/>
        <v>500 &amp; Below</v>
      </c>
    </row>
    <row r="931" ht="15.75" customHeight="1">
      <c r="A931" s="4" t="s">
        <v>8</v>
      </c>
      <c r="B931" s="7">
        <v>45702.0</v>
      </c>
      <c r="C931" s="4" t="s">
        <v>140</v>
      </c>
      <c r="D931" s="4" t="s">
        <v>191</v>
      </c>
      <c r="E931" s="8">
        <v>30.0</v>
      </c>
      <c r="F931" s="4" t="str">
        <f t="shared" si="1"/>
        <v>500 &amp; Below</v>
      </c>
    </row>
    <row r="932" ht="15.75" customHeight="1">
      <c r="A932" s="4" t="s">
        <v>8</v>
      </c>
      <c r="B932" s="7">
        <v>45703.0</v>
      </c>
      <c r="C932" s="4" t="s">
        <v>140</v>
      </c>
      <c r="D932" s="4" t="s">
        <v>2617</v>
      </c>
      <c r="E932" s="8">
        <v>70.0</v>
      </c>
      <c r="F932" s="4" t="str">
        <f t="shared" si="1"/>
        <v>500 &amp; Below</v>
      </c>
    </row>
    <row r="933" ht="15.75" customHeight="1">
      <c r="A933" s="4" t="s">
        <v>8</v>
      </c>
      <c r="B933" s="7">
        <v>45703.0</v>
      </c>
      <c r="C933" s="4" t="s">
        <v>140</v>
      </c>
      <c r="D933" s="4" t="s">
        <v>36</v>
      </c>
      <c r="E933" s="8">
        <v>942.0</v>
      </c>
      <c r="F933" s="4" t="str">
        <f t="shared" si="1"/>
        <v>Above 500</v>
      </c>
    </row>
    <row r="934" ht="15.75" customHeight="1">
      <c r="A934" s="4" t="s">
        <v>8</v>
      </c>
      <c r="B934" s="7">
        <v>45703.0</v>
      </c>
      <c r="C934" s="4" t="s">
        <v>140</v>
      </c>
      <c r="D934" s="4" t="s">
        <v>36</v>
      </c>
      <c r="E934" s="8">
        <v>1553.0</v>
      </c>
      <c r="F934" s="4" t="str">
        <f t="shared" si="1"/>
        <v>Above 500</v>
      </c>
    </row>
    <row r="935" ht="15.75" customHeight="1">
      <c r="A935" s="4" t="s">
        <v>8</v>
      </c>
      <c r="B935" s="7">
        <v>45703.0</v>
      </c>
      <c r="C935" s="4" t="s">
        <v>140</v>
      </c>
      <c r="D935" s="4" t="s">
        <v>2621</v>
      </c>
      <c r="E935" s="8">
        <v>412.7</v>
      </c>
      <c r="F935" s="4" t="str">
        <f t="shared" si="1"/>
        <v>500 &amp; Below</v>
      </c>
    </row>
    <row r="936" ht="15.75" customHeight="1">
      <c r="A936" s="4" t="s">
        <v>8</v>
      </c>
      <c r="B936" s="7">
        <v>45703.0</v>
      </c>
      <c r="C936" s="4" t="s">
        <v>140</v>
      </c>
      <c r="D936" s="4" t="s">
        <v>60</v>
      </c>
      <c r="E936" s="8">
        <v>1443.6</v>
      </c>
      <c r="F936" s="4" t="str">
        <f t="shared" si="1"/>
        <v>Above 500</v>
      </c>
    </row>
    <row r="937" ht="15.75" customHeight="1">
      <c r="A937" s="4" t="s">
        <v>8</v>
      </c>
      <c r="B937" s="7">
        <v>45704.0</v>
      </c>
      <c r="C937" s="4" t="s">
        <v>140</v>
      </c>
      <c r="D937" s="4" t="s">
        <v>124</v>
      </c>
      <c r="E937" s="8">
        <v>299.0</v>
      </c>
      <c r="F937" s="4" t="str">
        <f t="shared" si="1"/>
        <v>500 &amp; Below</v>
      </c>
    </row>
    <row r="938" ht="15.75" customHeight="1">
      <c r="A938" s="4" t="s">
        <v>8</v>
      </c>
      <c r="B938" s="7">
        <v>45704.0</v>
      </c>
      <c r="C938" s="4" t="s">
        <v>140</v>
      </c>
      <c r="D938" s="4" t="s">
        <v>97</v>
      </c>
      <c r="E938" s="8">
        <v>330.0</v>
      </c>
      <c r="F938" s="4" t="str">
        <f t="shared" si="1"/>
        <v>500 &amp; Below</v>
      </c>
    </row>
    <row r="939" ht="15.75" customHeight="1">
      <c r="A939" s="4" t="s">
        <v>8</v>
      </c>
      <c r="B939" s="7">
        <v>45704.0</v>
      </c>
      <c r="C939" s="4" t="s">
        <v>140</v>
      </c>
      <c r="D939" s="4" t="s">
        <v>36</v>
      </c>
      <c r="E939" s="8">
        <v>2586.0</v>
      </c>
      <c r="F939" s="4" t="str">
        <f t="shared" si="1"/>
        <v>Above 500</v>
      </c>
    </row>
    <row r="940" ht="15.75" customHeight="1">
      <c r="A940" s="4" t="s">
        <v>8</v>
      </c>
      <c r="B940" s="7">
        <v>45705.0</v>
      </c>
      <c r="C940" s="4" t="s">
        <v>140</v>
      </c>
      <c r="D940" s="4" t="s">
        <v>2214</v>
      </c>
      <c r="E940" s="8">
        <v>48.0</v>
      </c>
      <c r="F940" s="4" t="str">
        <f t="shared" si="1"/>
        <v>500 &amp; Below</v>
      </c>
    </row>
    <row r="941" ht="15.75" customHeight="1">
      <c r="A941" s="4" t="s">
        <v>8</v>
      </c>
      <c r="B941" s="7">
        <v>45705.0</v>
      </c>
      <c r="C941" s="4" t="s">
        <v>140</v>
      </c>
      <c r="D941" s="4" t="s">
        <v>2641</v>
      </c>
      <c r="E941" s="8">
        <v>20.0</v>
      </c>
      <c r="F941" s="4" t="str">
        <f t="shared" si="1"/>
        <v>500 &amp; Below</v>
      </c>
    </row>
    <row r="942" ht="15.75" customHeight="1">
      <c r="A942" s="4" t="s">
        <v>8</v>
      </c>
      <c r="B942" s="7">
        <v>45705.0</v>
      </c>
      <c r="C942" s="4" t="s">
        <v>140</v>
      </c>
      <c r="D942" s="4" t="s">
        <v>1917</v>
      </c>
      <c r="E942" s="8">
        <v>20.0</v>
      </c>
      <c r="F942" s="4" t="str">
        <f t="shared" si="1"/>
        <v>500 &amp; Below</v>
      </c>
    </row>
    <row r="943" ht="15.75" customHeight="1">
      <c r="A943" s="4" t="s">
        <v>8</v>
      </c>
      <c r="B943" s="7">
        <v>45705.0</v>
      </c>
      <c r="C943" s="4" t="s">
        <v>140</v>
      </c>
      <c r="D943" s="4" t="s">
        <v>28</v>
      </c>
      <c r="E943" s="8">
        <v>500.0</v>
      </c>
      <c r="F943" s="4" t="str">
        <f t="shared" si="1"/>
        <v>500 &amp; Below</v>
      </c>
    </row>
    <row r="944" ht="15.75" customHeight="1">
      <c r="A944" s="4" t="s">
        <v>8</v>
      </c>
      <c r="B944" s="7">
        <v>45705.0</v>
      </c>
      <c r="C944" s="4" t="s">
        <v>140</v>
      </c>
      <c r="D944" s="4" t="s">
        <v>2684</v>
      </c>
      <c r="E944" s="8">
        <v>2500.0</v>
      </c>
      <c r="F944" s="4" t="str">
        <f t="shared" si="1"/>
        <v>Above 500</v>
      </c>
    </row>
    <row r="945" ht="15.75" customHeight="1">
      <c r="A945" s="4" t="s">
        <v>8</v>
      </c>
      <c r="B945" s="7">
        <v>45706.0</v>
      </c>
      <c r="C945" s="4" t="s">
        <v>140</v>
      </c>
      <c r="D945" s="4" t="s">
        <v>194</v>
      </c>
      <c r="E945" s="8">
        <v>65.0</v>
      </c>
      <c r="F945" s="4" t="str">
        <f t="shared" si="1"/>
        <v>500 &amp; Below</v>
      </c>
    </row>
    <row r="946" ht="15.75" customHeight="1">
      <c r="A946" s="4" t="s">
        <v>8</v>
      </c>
      <c r="B946" s="7">
        <v>45706.0</v>
      </c>
      <c r="C946" s="4" t="s">
        <v>140</v>
      </c>
      <c r="D946" s="4" t="s">
        <v>2707</v>
      </c>
      <c r="E946" s="8">
        <v>80.0</v>
      </c>
      <c r="F946" s="4" t="str">
        <f t="shared" si="1"/>
        <v>500 &amp; Below</v>
      </c>
    </row>
    <row r="947" ht="15.75" customHeight="1">
      <c r="A947" s="4" t="s">
        <v>8</v>
      </c>
      <c r="B947" s="7">
        <v>45706.0</v>
      </c>
      <c r="C947" s="4" t="s">
        <v>140</v>
      </c>
      <c r="D947" s="4" t="s">
        <v>106</v>
      </c>
      <c r="E947" s="8">
        <v>10.0</v>
      </c>
      <c r="F947" s="4" t="str">
        <f t="shared" si="1"/>
        <v>500 &amp; Below</v>
      </c>
    </row>
    <row r="948" ht="15.75" customHeight="1">
      <c r="A948" s="4" t="s">
        <v>8</v>
      </c>
      <c r="B948" s="7">
        <v>45707.0</v>
      </c>
      <c r="C948" s="4" t="s">
        <v>140</v>
      </c>
      <c r="D948" s="4" t="s">
        <v>42</v>
      </c>
      <c r="E948" s="8">
        <v>5800.0</v>
      </c>
      <c r="F948" s="4" t="str">
        <f t="shared" si="1"/>
        <v>Above 500</v>
      </c>
    </row>
    <row r="949" ht="15.75" customHeight="1">
      <c r="A949" s="4" t="s">
        <v>8</v>
      </c>
      <c r="B949" s="7">
        <v>45707.0</v>
      </c>
      <c r="C949" s="4" t="s">
        <v>140</v>
      </c>
      <c r="D949" s="4" t="s">
        <v>75</v>
      </c>
      <c r="E949" s="8">
        <v>40.0</v>
      </c>
      <c r="F949" s="4" t="str">
        <f t="shared" si="1"/>
        <v>500 &amp; Below</v>
      </c>
    </row>
    <row r="950" ht="15.75" customHeight="1">
      <c r="A950" s="4" t="s">
        <v>8</v>
      </c>
      <c r="B950" s="7">
        <v>45707.0</v>
      </c>
      <c r="C950" s="4" t="s">
        <v>140</v>
      </c>
      <c r="D950" s="4" t="s">
        <v>41</v>
      </c>
      <c r="E950" s="8">
        <v>199.0</v>
      </c>
      <c r="F950" s="4" t="str">
        <f t="shared" si="1"/>
        <v>500 &amp; Below</v>
      </c>
    </row>
    <row r="951" ht="15.75" customHeight="1">
      <c r="A951" s="4" t="s">
        <v>8</v>
      </c>
      <c r="B951" s="7">
        <v>45708.0</v>
      </c>
      <c r="C951" s="4" t="s">
        <v>140</v>
      </c>
      <c r="D951" s="4" t="s">
        <v>24</v>
      </c>
      <c r="E951" s="8">
        <v>40.0</v>
      </c>
      <c r="F951" s="4" t="str">
        <f t="shared" si="1"/>
        <v>500 &amp; Below</v>
      </c>
    </row>
    <row r="952" ht="15.75" customHeight="1">
      <c r="A952" s="4" t="s">
        <v>8</v>
      </c>
      <c r="B952" s="7">
        <v>45708.0</v>
      </c>
      <c r="C952" s="4" t="s">
        <v>140</v>
      </c>
      <c r="D952" s="4" t="s">
        <v>106</v>
      </c>
      <c r="E952" s="8">
        <v>50.0</v>
      </c>
      <c r="F952" s="4" t="str">
        <f t="shared" si="1"/>
        <v>500 &amp; Below</v>
      </c>
    </row>
    <row r="953" ht="15.75" customHeight="1">
      <c r="A953" s="4" t="s">
        <v>8</v>
      </c>
      <c r="B953" s="7">
        <v>45709.0</v>
      </c>
      <c r="C953" s="4" t="s">
        <v>140</v>
      </c>
      <c r="D953" s="4" t="s">
        <v>2751</v>
      </c>
      <c r="E953" s="8">
        <v>20000.0</v>
      </c>
      <c r="F953" s="4" t="str">
        <f t="shared" si="1"/>
        <v>Above 500</v>
      </c>
    </row>
    <row r="954" ht="15.75" customHeight="1">
      <c r="A954" s="4" t="s">
        <v>8</v>
      </c>
      <c r="B954" s="7">
        <v>45709.0</v>
      </c>
      <c r="C954" s="4" t="s">
        <v>140</v>
      </c>
      <c r="D954" s="4" t="s">
        <v>18</v>
      </c>
      <c r="E954" s="8">
        <v>150.5</v>
      </c>
      <c r="F954" s="4" t="str">
        <f t="shared" si="1"/>
        <v>500 &amp; Below</v>
      </c>
    </row>
    <row r="955" ht="15.75" customHeight="1">
      <c r="A955" s="4" t="s">
        <v>8</v>
      </c>
      <c r="B955" s="7">
        <v>45709.0</v>
      </c>
      <c r="C955" s="4" t="s">
        <v>140</v>
      </c>
      <c r="D955" s="4" t="s">
        <v>1392</v>
      </c>
      <c r="E955" s="8">
        <v>250.0</v>
      </c>
      <c r="F955" s="4" t="str">
        <f t="shared" si="1"/>
        <v>500 &amp; Below</v>
      </c>
    </row>
    <row r="956" ht="15.75" customHeight="1">
      <c r="A956" s="4" t="s">
        <v>8</v>
      </c>
      <c r="B956" s="7">
        <v>45709.0</v>
      </c>
      <c r="C956" s="4" t="s">
        <v>140</v>
      </c>
      <c r="D956" s="4" t="s">
        <v>2774</v>
      </c>
      <c r="E956" s="8">
        <v>180.0</v>
      </c>
      <c r="F956" s="4" t="str">
        <f t="shared" si="1"/>
        <v>500 &amp; Below</v>
      </c>
    </row>
    <row r="957" ht="15.75" customHeight="1">
      <c r="A957" s="4" t="s">
        <v>8</v>
      </c>
      <c r="B957" s="7">
        <v>45709.0</v>
      </c>
      <c r="C957" s="4" t="s">
        <v>140</v>
      </c>
      <c r="D957" s="4" t="s">
        <v>79</v>
      </c>
      <c r="E957" s="8">
        <v>5.0</v>
      </c>
      <c r="F957" s="4" t="str">
        <f t="shared" si="1"/>
        <v>500 &amp; Below</v>
      </c>
    </row>
    <row r="958" ht="15.75" customHeight="1">
      <c r="A958" s="4" t="s">
        <v>8</v>
      </c>
      <c r="B958" s="7">
        <v>45709.0</v>
      </c>
      <c r="C958" s="4" t="s">
        <v>140</v>
      </c>
      <c r="D958" s="4" t="s">
        <v>2684</v>
      </c>
      <c r="E958" s="8">
        <v>1850.0</v>
      </c>
      <c r="F958" s="4" t="str">
        <f t="shared" si="1"/>
        <v>Above 500</v>
      </c>
    </row>
    <row r="959" ht="15.75" customHeight="1">
      <c r="A959" s="4" t="s">
        <v>8</v>
      </c>
      <c r="B959" s="7">
        <v>45709.0</v>
      </c>
      <c r="C959" s="4" t="s">
        <v>140</v>
      </c>
      <c r="D959" s="4" t="s">
        <v>2788</v>
      </c>
      <c r="E959" s="8">
        <v>160.0</v>
      </c>
      <c r="F959" s="4" t="str">
        <f t="shared" si="1"/>
        <v>500 &amp; Below</v>
      </c>
    </row>
    <row r="960" ht="15.75" customHeight="1">
      <c r="A960" s="4" t="s">
        <v>8</v>
      </c>
      <c r="B960" s="7">
        <v>45709.0</v>
      </c>
      <c r="C960" s="4" t="s">
        <v>140</v>
      </c>
      <c r="D960" s="4" t="s">
        <v>39</v>
      </c>
      <c r="E960" s="8">
        <v>90.0</v>
      </c>
      <c r="F960" s="4" t="str">
        <f t="shared" si="1"/>
        <v>500 &amp; Below</v>
      </c>
    </row>
    <row r="961" ht="15.75" customHeight="1">
      <c r="A961" s="4" t="s">
        <v>8</v>
      </c>
      <c r="B961" s="7">
        <v>45710.0</v>
      </c>
      <c r="C961" s="4" t="s">
        <v>140</v>
      </c>
      <c r="D961" s="4" t="s">
        <v>194</v>
      </c>
      <c r="E961" s="8">
        <v>25.0</v>
      </c>
      <c r="F961" s="4" t="str">
        <f t="shared" si="1"/>
        <v>500 &amp; Below</v>
      </c>
    </row>
    <row r="962" ht="15.75" customHeight="1">
      <c r="A962" s="4" t="s">
        <v>8</v>
      </c>
      <c r="B962" s="7">
        <v>45710.0</v>
      </c>
      <c r="C962" s="4" t="s">
        <v>140</v>
      </c>
      <c r="D962" s="4" t="s">
        <v>39</v>
      </c>
      <c r="E962" s="8">
        <v>20.0</v>
      </c>
      <c r="F962" s="4" t="str">
        <f t="shared" si="1"/>
        <v>500 &amp; Below</v>
      </c>
    </row>
    <row r="963" ht="15.75" customHeight="1">
      <c r="A963" s="4" t="s">
        <v>8</v>
      </c>
      <c r="B963" s="7">
        <v>45711.0</v>
      </c>
      <c r="C963" s="4" t="s">
        <v>140</v>
      </c>
      <c r="D963" s="4" t="s">
        <v>2774</v>
      </c>
      <c r="E963" s="8">
        <v>150.0</v>
      </c>
      <c r="F963" s="4" t="str">
        <f t="shared" si="1"/>
        <v>500 &amp; Below</v>
      </c>
    </row>
    <row r="964" ht="15.75" customHeight="1">
      <c r="A964" s="4" t="s">
        <v>8</v>
      </c>
      <c r="B964" s="7">
        <v>45711.0</v>
      </c>
      <c r="C964" s="4" t="s">
        <v>140</v>
      </c>
      <c r="D964" s="4" t="s">
        <v>2814</v>
      </c>
      <c r="E964" s="8">
        <v>10.0</v>
      </c>
      <c r="F964" s="4" t="str">
        <f t="shared" si="1"/>
        <v>500 &amp; Below</v>
      </c>
    </row>
    <row r="965" ht="15.75" customHeight="1">
      <c r="A965" s="4" t="s">
        <v>8</v>
      </c>
      <c r="B965" s="7">
        <v>45711.0</v>
      </c>
      <c r="C965" s="4" t="s">
        <v>140</v>
      </c>
      <c r="D965" s="4" t="s">
        <v>2825</v>
      </c>
      <c r="E965" s="8">
        <v>22.0</v>
      </c>
      <c r="F965" s="4" t="str">
        <f t="shared" si="1"/>
        <v>500 &amp; Below</v>
      </c>
    </row>
    <row r="966" ht="15.75" customHeight="1">
      <c r="A966" s="4" t="s">
        <v>8</v>
      </c>
      <c r="B966" s="7">
        <v>45711.0</v>
      </c>
      <c r="C966" s="4" t="s">
        <v>140</v>
      </c>
      <c r="D966" s="4" t="s">
        <v>2833</v>
      </c>
      <c r="E966" s="8">
        <v>35.0</v>
      </c>
      <c r="F966" s="4" t="str">
        <f t="shared" si="1"/>
        <v>500 &amp; Below</v>
      </c>
    </row>
    <row r="967" ht="15.75" customHeight="1">
      <c r="A967" s="4" t="s">
        <v>8</v>
      </c>
      <c r="B967" s="7">
        <v>45711.0</v>
      </c>
      <c r="C967" s="4" t="s">
        <v>140</v>
      </c>
      <c r="D967" s="4" t="s">
        <v>2840</v>
      </c>
      <c r="E967" s="8">
        <v>35.0</v>
      </c>
      <c r="F967" s="4" t="str">
        <f t="shared" si="1"/>
        <v>500 &amp; Below</v>
      </c>
    </row>
    <row r="968" ht="15.75" customHeight="1">
      <c r="A968" s="4" t="s">
        <v>8</v>
      </c>
      <c r="B968" s="7">
        <v>45713.0</v>
      </c>
      <c r="C968" s="4" t="s">
        <v>140</v>
      </c>
      <c r="D968" s="4" t="s">
        <v>119</v>
      </c>
      <c r="E968" s="8">
        <v>240.0</v>
      </c>
      <c r="F968" s="4" t="str">
        <f t="shared" si="1"/>
        <v>500 &amp; Below</v>
      </c>
    </row>
    <row r="969" ht="15.75" customHeight="1">
      <c r="A969" s="4" t="s">
        <v>8</v>
      </c>
      <c r="B969" s="7">
        <v>45713.0</v>
      </c>
      <c r="C969" s="4" t="s">
        <v>140</v>
      </c>
      <c r="D969" s="4" t="s">
        <v>1497</v>
      </c>
      <c r="E969" s="8">
        <v>150.0</v>
      </c>
      <c r="F969" s="4" t="str">
        <f t="shared" si="1"/>
        <v>500 &amp; Below</v>
      </c>
    </row>
    <row r="970" ht="15.75" customHeight="1">
      <c r="A970" s="4" t="s">
        <v>8</v>
      </c>
      <c r="B970" s="7">
        <v>45713.0</v>
      </c>
      <c r="C970" s="4" t="s">
        <v>140</v>
      </c>
      <c r="D970" s="4" t="s">
        <v>27</v>
      </c>
      <c r="E970" s="8">
        <v>501.0</v>
      </c>
      <c r="F970" s="4" t="str">
        <f t="shared" si="1"/>
        <v>Above 500</v>
      </c>
    </row>
    <row r="971" ht="15.75" customHeight="1">
      <c r="A971" s="4" t="s">
        <v>8</v>
      </c>
      <c r="B971" s="7">
        <v>45714.0</v>
      </c>
      <c r="C971" s="4" t="s">
        <v>140</v>
      </c>
      <c r="D971" s="4" t="s">
        <v>48</v>
      </c>
      <c r="E971" s="8">
        <v>234.0</v>
      </c>
      <c r="F971" s="4" t="str">
        <f t="shared" si="1"/>
        <v>500 &amp; Below</v>
      </c>
    </row>
    <row r="972" ht="15.75" customHeight="1">
      <c r="A972" s="4" t="s">
        <v>8</v>
      </c>
      <c r="B972" s="7">
        <v>45714.0</v>
      </c>
      <c r="C972" s="4" t="s">
        <v>140</v>
      </c>
      <c r="D972" s="4" t="s">
        <v>18</v>
      </c>
      <c r="E972" s="8">
        <v>356.85</v>
      </c>
      <c r="F972" s="4" t="str">
        <f t="shared" si="1"/>
        <v>500 &amp; Below</v>
      </c>
    </row>
    <row r="973" ht="15.75" customHeight="1">
      <c r="A973" s="4" t="s">
        <v>8</v>
      </c>
      <c r="B973" s="7">
        <v>45715.0</v>
      </c>
      <c r="C973" s="4" t="s">
        <v>140</v>
      </c>
      <c r="D973" s="4" t="s">
        <v>28</v>
      </c>
      <c r="E973" s="8">
        <v>1000.0</v>
      </c>
      <c r="F973" s="4" t="str">
        <f t="shared" si="1"/>
        <v>Above 500</v>
      </c>
    </row>
    <row r="974" ht="15.75" customHeight="1">
      <c r="A974" s="4" t="s">
        <v>8</v>
      </c>
      <c r="B974" s="7">
        <v>45715.0</v>
      </c>
      <c r="C974" s="4" t="s">
        <v>140</v>
      </c>
      <c r="D974" s="4" t="s">
        <v>98</v>
      </c>
      <c r="E974" s="8">
        <v>85.0</v>
      </c>
      <c r="F974" s="4" t="str">
        <f t="shared" si="1"/>
        <v>500 &amp; Below</v>
      </c>
    </row>
    <row r="975" ht="15.75" customHeight="1">
      <c r="A975" s="4" t="s">
        <v>8</v>
      </c>
      <c r="B975" s="7">
        <v>45715.0</v>
      </c>
      <c r="C975" s="4" t="s">
        <v>140</v>
      </c>
      <c r="D975" s="4" t="s">
        <v>2885</v>
      </c>
      <c r="E975" s="8">
        <v>1160.0</v>
      </c>
      <c r="F975" s="4" t="str">
        <f t="shared" si="1"/>
        <v>Above 500</v>
      </c>
    </row>
    <row r="976" ht="15.75" customHeight="1">
      <c r="A976" s="4" t="s">
        <v>8</v>
      </c>
      <c r="B976" s="7">
        <v>45715.0</v>
      </c>
      <c r="C976" s="4" t="s">
        <v>140</v>
      </c>
      <c r="D976" s="4" t="s">
        <v>218</v>
      </c>
      <c r="E976" s="8">
        <v>500.0</v>
      </c>
      <c r="F976" s="4" t="str">
        <f t="shared" si="1"/>
        <v>500 &amp; Below</v>
      </c>
    </row>
    <row r="977" ht="15.75" customHeight="1">
      <c r="A977" s="4" t="s">
        <v>8</v>
      </c>
      <c r="B977" s="7">
        <v>45715.0</v>
      </c>
      <c r="C977" s="4" t="s">
        <v>140</v>
      </c>
      <c r="D977" s="4" t="s">
        <v>2897</v>
      </c>
      <c r="E977" s="8">
        <v>300.0</v>
      </c>
      <c r="F977" s="4" t="str">
        <f t="shared" si="1"/>
        <v>500 &amp; Below</v>
      </c>
    </row>
    <row r="978" ht="15.75" customHeight="1">
      <c r="A978" s="4" t="s">
        <v>8</v>
      </c>
      <c r="B978" s="7">
        <v>45715.0</v>
      </c>
      <c r="C978" s="4" t="s">
        <v>140</v>
      </c>
      <c r="D978" s="4" t="s">
        <v>2902</v>
      </c>
      <c r="E978" s="8">
        <v>699.0</v>
      </c>
      <c r="F978" s="4" t="str">
        <f t="shared" si="1"/>
        <v>Above 500</v>
      </c>
    </row>
    <row r="979" ht="15.75" customHeight="1">
      <c r="A979" s="4" t="s">
        <v>8</v>
      </c>
      <c r="B979" s="7">
        <v>45716.0</v>
      </c>
      <c r="C979" s="4" t="s">
        <v>140</v>
      </c>
      <c r="D979" s="4" t="s">
        <v>72</v>
      </c>
      <c r="E979" s="8">
        <v>600.0</v>
      </c>
      <c r="F979" s="4" t="str">
        <f t="shared" si="1"/>
        <v>Above 500</v>
      </c>
    </row>
    <row r="980" ht="15.75" customHeight="1">
      <c r="A980" s="4" t="s">
        <v>8</v>
      </c>
      <c r="B980" s="7">
        <v>45716.0</v>
      </c>
      <c r="C980" s="4" t="s">
        <v>140</v>
      </c>
      <c r="D980" s="4" t="s">
        <v>1723</v>
      </c>
      <c r="E980" s="8">
        <v>2500.0</v>
      </c>
      <c r="F980" s="4" t="str">
        <f t="shared" si="1"/>
        <v>Above 500</v>
      </c>
    </row>
    <row r="981" ht="15.75" customHeight="1">
      <c r="A981" s="4" t="s">
        <v>8</v>
      </c>
      <c r="B981" s="7">
        <v>45716.0</v>
      </c>
      <c r="C981" s="4" t="s">
        <v>140</v>
      </c>
      <c r="D981" s="4" t="s">
        <v>2519</v>
      </c>
      <c r="E981" s="8">
        <v>200.0</v>
      </c>
      <c r="F981" s="4" t="str">
        <f t="shared" si="1"/>
        <v>500 &amp; Below</v>
      </c>
    </row>
    <row r="982" ht="15.75" customHeight="1">
      <c r="A982" s="4" t="s">
        <v>8</v>
      </c>
      <c r="B982" s="7">
        <v>45716.0</v>
      </c>
      <c r="C982" s="4" t="s">
        <v>140</v>
      </c>
      <c r="D982" s="4" t="s">
        <v>2928</v>
      </c>
      <c r="E982" s="8">
        <v>1000.0</v>
      </c>
      <c r="F982" s="4" t="str">
        <f t="shared" si="1"/>
        <v>Above 500</v>
      </c>
    </row>
    <row r="983" ht="15.75" customHeight="1">
      <c r="A983" s="4" t="s">
        <v>8</v>
      </c>
      <c r="B983" s="7">
        <v>45717.0</v>
      </c>
      <c r="C983" s="4" t="s">
        <v>196</v>
      </c>
      <c r="D983" s="4" t="s">
        <v>532</v>
      </c>
      <c r="E983" s="8">
        <v>196.0</v>
      </c>
      <c r="F983" s="4" t="str">
        <f t="shared" si="1"/>
        <v>500 &amp; Below</v>
      </c>
    </row>
    <row r="984" ht="15.75" customHeight="1">
      <c r="A984" s="4" t="s">
        <v>8</v>
      </c>
      <c r="B984" s="7">
        <v>45717.0</v>
      </c>
      <c r="C984" s="4" t="s">
        <v>196</v>
      </c>
      <c r="D984" s="4" t="s">
        <v>79</v>
      </c>
      <c r="E984" s="8">
        <v>40.0</v>
      </c>
      <c r="F984" s="4" t="str">
        <f t="shared" si="1"/>
        <v>500 &amp; Below</v>
      </c>
    </row>
    <row r="985" ht="15.75" customHeight="1">
      <c r="A985" s="4" t="s">
        <v>8</v>
      </c>
      <c r="B985" s="7">
        <v>45717.0</v>
      </c>
      <c r="C985" s="4" t="s">
        <v>196</v>
      </c>
      <c r="D985" s="4" t="s">
        <v>2945</v>
      </c>
      <c r="E985" s="8">
        <v>14000.0</v>
      </c>
      <c r="F985" s="4" t="str">
        <f t="shared" si="1"/>
        <v>Above 500</v>
      </c>
    </row>
    <row r="986" ht="15.75" customHeight="1">
      <c r="A986" s="4" t="s">
        <v>8</v>
      </c>
      <c r="B986" s="7">
        <v>45717.0</v>
      </c>
      <c r="C986" s="4" t="s">
        <v>196</v>
      </c>
      <c r="D986" s="4" t="s">
        <v>1698</v>
      </c>
      <c r="E986" s="8">
        <v>65.0</v>
      </c>
      <c r="F986" s="4" t="str">
        <f t="shared" si="1"/>
        <v>500 &amp; Below</v>
      </c>
    </row>
    <row r="987" ht="15.75" customHeight="1">
      <c r="A987" s="4" t="s">
        <v>8</v>
      </c>
      <c r="B987" s="7">
        <v>45717.0</v>
      </c>
      <c r="C987" s="4" t="s">
        <v>196</v>
      </c>
      <c r="D987" s="4" t="s">
        <v>2958</v>
      </c>
      <c r="E987" s="8">
        <v>230.0</v>
      </c>
      <c r="F987" s="4" t="str">
        <f t="shared" si="1"/>
        <v>500 &amp; Below</v>
      </c>
    </row>
    <row r="988" ht="15.75" customHeight="1">
      <c r="A988" s="4" t="s">
        <v>8</v>
      </c>
      <c r="B988" s="7">
        <v>45719.0</v>
      </c>
      <c r="C988" s="4" t="s">
        <v>196</v>
      </c>
      <c r="D988" s="4" t="s">
        <v>1261</v>
      </c>
      <c r="E988" s="8">
        <v>1.0</v>
      </c>
      <c r="F988" s="4" t="str">
        <f t="shared" si="1"/>
        <v>500 &amp; Below</v>
      </c>
    </row>
    <row r="989" ht="15.75" customHeight="1">
      <c r="A989" s="4" t="s">
        <v>8</v>
      </c>
      <c r="B989" s="7">
        <v>45719.0</v>
      </c>
      <c r="C989" s="4" t="s">
        <v>196</v>
      </c>
      <c r="D989" s="4" t="s">
        <v>1261</v>
      </c>
      <c r="E989" s="8">
        <v>29.0</v>
      </c>
      <c r="F989" s="4" t="str">
        <f t="shared" si="1"/>
        <v>500 &amp; Below</v>
      </c>
    </row>
    <row r="990" ht="15.75" customHeight="1">
      <c r="A990" s="4" t="s">
        <v>8</v>
      </c>
      <c r="B990" s="7">
        <v>45719.0</v>
      </c>
      <c r="C990" s="4" t="s">
        <v>196</v>
      </c>
      <c r="D990" s="4" t="s">
        <v>1392</v>
      </c>
      <c r="E990" s="8">
        <v>350.0</v>
      </c>
      <c r="F990" s="4" t="str">
        <f t="shared" si="1"/>
        <v>500 &amp; Below</v>
      </c>
    </row>
    <row r="991" ht="15.75" customHeight="1">
      <c r="A991" s="4" t="s">
        <v>8</v>
      </c>
      <c r="B991" s="7">
        <v>45719.0</v>
      </c>
      <c r="C991" s="4" t="s">
        <v>196</v>
      </c>
      <c r="D991" s="4" t="s">
        <v>18</v>
      </c>
      <c r="E991" s="8">
        <v>150.2</v>
      </c>
      <c r="F991" s="4" t="str">
        <f t="shared" si="1"/>
        <v>500 &amp; Below</v>
      </c>
    </row>
    <row r="992" ht="15.75" customHeight="1">
      <c r="A992" s="4" t="s">
        <v>8</v>
      </c>
      <c r="B992" s="7">
        <v>45719.0</v>
      </c>
      <c r="C992" s="4" t="s">
        <v>196</v>
      </c>
      <c r="D992" s="4" t="s">
        <v>2987</v>
      </c>
      <c r="E992" s="8">
        <v>10.0</v>
      </c>
      <c r="F992" s="4" t="str">
        <f t="shared" si="1"/>
        <v>500 &amp; Below</v>
      </c>
    </row>
    <row r="993" ht="15.75" customHeight="1">
      <c r="A993" s="4" t="s">
        <v>8</v>
      </c>
      <c r="B993" s="7">
        <v>45719.0</v>
      </c>
      <c r="C993" s="4" t="s">
        <v>196</v>
      </c>
      <c r="D993" s="4" t="s">
        <v>117</v>
      </c>
      <c r="E993" s="8">
        <v>15.0</v>
      </c>
      <c r="F993" s="4" t="str">
        <f t="shared" si="1"/>
        <v>500 &amp; Below</v>
      </c>
    </row>
    <row r="994" ht="15.75" customHeight="1">
      <c r="A994" s="4" t="s">
        <v>8</v>
      </c>
      <c r="B994" s="7">
        <v>45719.0</v>
      </c>
      <c r="C994" s="4" t="s">
        <v>196</v>
      </c>
      <c r="D994" s="4" t="s">
        <v>102</v>
      </c>
      <c r="E994" s="8">
        <v>125.0</v>
      </c>
      <c r="F994" s="4" t="str">
        <f t="shared" si="1"/>
        <v>500 &amp; Below</v>
      </c>
    </row>
    <row r="995" ht="15.75" customHeight="1">
      <c r="A995" s="4" t="s">
        <v>8</v>
      </c>
      <c r="B995" s="7">
        <v>45719.0</v>
      </c>
      <c r="C995" s="4" t="s">
        <v>196</v>
      </c>
      <c r="D995" s="4" t="s">
        <v>28</v>
      </c>
      <c r="E995" s="8">
        <v>500.0</v>
      </c>
      <c r="F995" s="4" t="str">
        <f t="shared" si="1"/>
        <v>500 &amp; Below</v>
      </c>
    </row>
    <row r="996" ht="15.75" customHeight="1">
      <c r="A996" s="4" t="s">
        <v>8</v>
      </c>
      <c r="B996" s="7">
        <v>45720.0</v>
      </c>
      <c r="C996" s="4" t="s">
        <v>196</v>
      </c>
      <c r="D996" s="4" t="s">
        <v>39</v>
      </c>
      <c r="E996" s="8">
        <v>70.0</v>
      </c>
      <c r="F996" s="4" t="str">
        <f t="shared" si="1"/>
        <v>500 &amp; Below</v>
      </c>
    </row>
    <row r="997" ht="15.75" customHeight="1">
      <c r="A997" s="4" t="s">
        <v>8</v>
      </c>
      <c r="B997" s="7">
        <v>45721.0</v>
      </c>
      <c r="C997" s="4" t="s">
        <v>196</v>
      </c>
      <c r="D997" s="4" t="s">
        <v>108</v>
      </c>
      <c r="E997" s="8">
        <v>10.0</v>
      </c>
      <c r="F997" s="4" t="str">
        <f t="shared" si="1"/>
        <v>500 &amp; Below</v>
      </c>
    </row>
    <row r="998" ht="15.75" customHeight="1">
      <c r="A998" s="4" t="s">
        <v>8</v>
      </c>
      <c r="B998" s="7">
        <v>45723.0</v>
      </c>
      <c r="C998" s="4" t="s">
        <v>196</v>
      </c>
      <c r="D998" s="4" t="s">
        <v>3010</v>
      </c>
      <c r="E998" s="8">
        <v>1500.0</v>
      </c>
      <c r="F998" s="4" t="str">
        <f t="shared" si="1"/>
        <v>Above 500</v>
      </c>
    </row>
    <row r="999" ht="15.75" customHeight="1">
      <c r="A999" s="4" t="s">
        <v>8</v>
      </c>
      <c r="B999" s="7">
        <v>45723.0</v>
      </c>
      <c r="C999" s="4" t="s">
        <v>196</v>
      </c>
      <c r="D999" s="4" t="s">
        <v>28</v>
      </c>
      <c r="E999" s="8">
        <v>1300.0</v>
      </c>
      <c r="F999" s="4" t="str">
        <f t="shared" si="1"/>
        <v>Above 500</v>
      </c>
    </row>
    <row r="1000" ht="15.75" customHeight="1">
      <c r="A1000" s="4" t="s">
        <v>8</v>
      </c>
      <c r="B1000" s="7">
        <v>45723.0</v>
      </c>
      <c r="C1000" s="4" t="s">
        <v>196</v>
      </c>
      <c r="D1000" s="4" t="s">
        <v>3046</v>
      </c>
      <c r="E1000" s="8">
        <v>1320.0</v>
      </c>
      <c r="F1000" s="4" t="str">
        <f t="shared" si="1"/>
        <v>Above 500</v>
      </c>
    </row>
    <row r="1001" ht="15.75" customHeight="1">
      <c r="A1001" s="4" t="s">
        <v>8</v>
      </c>
      <c r="B1001" s="7">
        <v>45723.0</v>
      </c>
      <c r="C1001" s="4" t="s">
        <v>196</v>
      </c>
      <c r="D1001" s="4" t="s">
        <v>3046</v>
      </c>
      <c r="E1001" s="8">
        <v>1320.0</v>
      </c>
      <c r="F1001" s="4" t="str">
        <f t="shared" si="1"/>
        <v>Above 500</v>
      </c>
    </row>
    <row r="1002" ht="15.75" customHeight="1">
      <c r="A1002" s="4" t="s">
        <v>8</v>
      </c>
      <c r="B1002" s="7">
        <v>45725.0</v>
      </c>
      <c r="C1002" s="4" t="s">
        <v>196</v>
      </c>
      <c r="D1002" s="4" t="s">
        <v>2519</v>
      </c>
      <c r="E1002" s="8">
        <v>157.0</v>
      </c>
      <c r="F1002" s="4" t="str">
        <f t="shared" si="1"/>
        <v>500 &amp; Below</v>
      </c>
    </row>
    <row r="1003" ht="15.75" customHeight="1">
      <c r="A1003" s="4" t="s">
        <v>8</v>
      </c>
      <c r="B1003" s="7">
        <v>45725.0</v>
      </c>
      <c r="C1003" s="4" t="s">
        <v>196</v>
      </c>
      <c r="D1003" s="4" t="s">
        <v>28</v>
      </c>
      <c r="E1003" s="8">
        <v>235.0</v>
      </c>
      <c r="F1003" s="4" t="str">
        <f t="shared" si="1"/>
        <v>500 &amp; Below</v>
      </c>
    </row>
    <row r="1004" ht="15.75" customHeight="1">
      <c r="A1004" s="4" t="s">
        <v>8</v>
      </c>
      <c r="B1004" s="7">
        <v>45725.0</v>
      </c>
      <c r="C1004" s="4" t="s">
        <v>196</v>
      </c>
      <c r="D1004" s="4" t="s">
        <v>2519</v>
      </c>
      <c r="E1004" s="8">
        <v>3.0</v>
      </c>
      <c r="F1004" s="4" t="str">
        <f t="shared" si="1"/>
        <v>500 &amp; Below</v>
      </c>
    </row>
    <row r="1005" ht="15.75" customHeight="1">
      <c r="A1005" s="4" t="s">
        <v>8</v>
      </c>
      <c r="B1005" s="7">
        <v>45726.0</v>
      </c>
      <c r="C1005" s="4" t="s">
        <v>196</v>
      </c>
      <c r="D1005" s="4" t="s">
        <v>1673</v>
      </c>
      <c r="E1005" s="8">
        <v>1500.0</v>
      </c>
      <c r="F1005" s="4" t="str">
        <f t="shared" si="1"/>
        <v>Above 500</v>
      </c>
    </row>
    <row r="1006" ht="15.75" customHeight="1">
      <c r="A1006" s="4" t="s">
        <v>8</v>
      </c>
      <c r="B1006" s="7">
        <v>45726.0</v>
      </c>
      <c r="C1006" s="4" t="s">
        <v>196</v>
      </c>
      <c r="D1006" s="4" t="s">
        <v>3084</v>
      </c>
      <c r="E1006" s="8">
        <v>60.0</v>
      </c>
      <c r="F1006" s="4" t="str">
        <f t="shared" si="1"/>
        <v>500 &amp; Below</v>
      </c>
    </row>
    <row r="1007" ht="15.75" customHeight="1">
      <c r="A1007" s="4" t="s">
        <v>8</v>
      </c>
      <c r="B1007" s="7">
        <v>45726.0</v>
      </c>
      <c r="C1007" s="4" t="s">
        <v>196</v>
      </c>
      <c r="D1007" s="4" t="s">
        <v>119</v>
      </c>
      <c r="E1007" s="8">
        <v>20.0</v>
      </c>
      <c r="F1007" s="4" t="str">
        <f t="shared" si="1"/>
        <v>500 &amp; Below</v>
      </c>
    </row>
    <row r="1008" ht="15.75" customHeight="1">
      <c r="A1008" s="4" t="s">
        <v>8</v>
      </c>
      <c r="B1008" s="7">
        <v>45726.0</v>
      </c>
      <c r="C1008" s="4" t="s">
        <v>196</v>
      </c>
      <c r="D1008" s="4" t="s">
        <v>60</v>
      </c>
      <c r="E1008" s="8">
        <v>733.6</v>
      </c>
      <c r="F1008" s="4" t="str">
        <f t="shared" si="1"/>
        <v>Above 500</v>
      </c>
    </row>
    <row r="1009" ht="15.75" customHeight="1">
      <c r="A1009" s="4" t="s">
        <v>8</v>
      </c>
      <c r="B1009" s="7">
        <v>45727.0</v>
      </c>
      <c r="C1009" s="4" t="s">
        <v>196</v>
      </c>
      <c r="D1009" s="4" t="s">
        <v>37</v>
      </c>
      <c r="E1009" s="8">
        <v>19.0</v>
      </c>
      <c r="F1009" s="4" t="str">
        <f t="shared" si="1"/>
        <v>500 &amp; Below</v>
      </c>
    </row>
    <row r="1010" ht="15.75" customHeight="1">
      <c r="A1010" s="4" t="s">
        <v>8</v>
      </c>
      <c r="B1010" s="7">
        <v>45728.0</v>
      </c>
      <c r="C1010" s="4" t="s">
        <v>196</v>
      </c>
      <c r="D1010" s="4" t="s">
        <v>28</v>
      </c>
      <c r="E1010" s="8">
        <v>1000.0</v>
      </c>
      <c r="F1010" s="4" t="str">
        <f t="shared" si="1"/>
        <v>Above 500</v>
      </c>
    </row>
    <row r="1011" ht="15.75" customHeight="1">
      <c r="A1011" s="4" t="s">
        <v>8</v>
      </c>
      <c r="B1011" s="7">
        <v>45730.0</v>
      </c>
      <c r="C1011" s="4" t="s">
        <v>196</v>
      </c>
      <c r="D1011" s="4" t="s">
        <v>69</v>
      </c>
      <c r="E1011" s="8">
        <v>139.0</v>
      </c>
      <c r="F1011" s="4" t="str">
        <f t="shared" si="1"/>
        <v>500 &amp; Below</v>
      </c>
    </row>
    <row r="1012" ht="15.75" customHeight="1">
      <c r="A1012" s="4" t="s">
        <v>8</v>
      </c>
      <c r="B1012" s="7">
        <v>45730.0</v>
      </c>
      <c r="C1012" s="4" t="s">
        <v>196</v>
      </c>
      <c r="D1012" s="4" t="s">
        <v>37</v>
      </c>
      <c r="E1012" s="8">
        <v>319.0</v>
      </c>
      <c r="F1012" s="4" t="str">
        <f t="shared" si="1"/>
        <v>500 &amp; Below</v>
      </c>
    </row>
    <row r="1013" ht="15.75" customHeight="1">
      <c r="A1013" s="4" t="s">
        <v>8</v>
      </c>
      <c r="B1013" s="7">
        <v>45730.0</v>
      </c>
      <c r="C1013" s="4" t="s">
        <v>196</v>
      </c>
      <c r="D1013" s="4" t="s">
        <v>928</v>
      </c>
      <c r="E1013" s="8">
        <v>310.0</v>
      </c>
      <c r="F1013" s="4" t="str">
        <f t="shared" si="1"/>
        <v>500 &amp; Below</v>
      </c>
    </row>
    <row r="1014" ht="15.75" customHeight="1">
      <c r="A1014" s="4" t="s">
        <v>8</v>
      </c>
      <c r="B1014" s="7">
        <v>45731.0</v>
      </c>
      <c r="C1014" s="4" t="s">
        <v>196</v>
      </c>
      <c r="D1014" s="4" t="s">
        <v>36</v>
      </c>
      <c r="E1014" s="8">
        <v>1432.0</v>
      </c>
      <c r="F1014" s="4" t="str">
        <f t="shared" si="1"/>
        <v>Above 500</v>
      </c>
    </row>
    <row r="1015" ht="15.75" customHeight="1">
      <c r="A1015" s="4" t="s">
        <v>8</v>
      </c>
      <c r="B1015" s="7">
        <v>45731.0</v>
      </c>
      <c r="C1015" s="4" t="s">
        <v>196</v>
      </c>
      <c r="D1015" s="4" t="s">
        <v>36</v>
      </c>
      <c r="E1015" s="8">
        <v>1407.0</v>
      </c>
      <c r="F1015" s="4" t="str">
        <f t="shared" si="1"/>
        <v>Above 500</v>
      </c>
    </row>
    <row r="1016" ht="15.75" customHeight="1">
      <c r="A1016" s="4" t="s">
        <v>8</v>
      </c>
      <c r="B1016" s="7">
        <v>45731.0</v>
      </c>
      <c r="C1016" s="4" t="s">
        <v>196</v>
      </c>
      <c r="D1016" s="4" t="s">
        <v>3161</v>
      </c>
      <c r="E1016" s="8">
        <v>22.0</v>
      </c>
      <c r="F1016" s="4" t="str">
        <f t="shared" si="1"/>
        <v>500 &amp; Below</v>
      </c>
    </row>
    <row r="1017" ht="15.75" customHeight="1">
      <c r="A1017" s="4" t="s">
        <v>8</v>
      </c>
      <c r="B1017" s="7">
        <v>45731.0</v>
      </c>
      <c r="C1017" s="4" t="s">
        <v>196</v>
      </c>
      <c r="D1017" s="4" t="s">
        <v>3161</v>
      </c>
      <c r="E1017" s="8">
        <v>11.0</v>
      </c>
      <c r="F1017" s="4" t="str">
        <f t="shared" si="1"/>
        <v>500 &amp; Below</v>
      </c>
    </row>
    <row r="1018" ht="15.75" customHeight="1">
      <c r="A1018" s="4" t="s">
        <v>8</v>
      </c>
      <c r="B1018" s="7">
        <v>45732.0</v>
      </c>
      <c r="C1018" s="4" t="s">
        <v>196</v>
      </c>
      <c r="D1018" s="4" t="s">
        <v>3161</v>
      </c>
      <c r="E1018" s="8">
        <v>299.0</v>
      </c>
      <c r="F1018" s="4" t="str">
        <f t="shared" si="1"/>
        <v>500 &amp; Below</v>
      </c>
    </row>
    <row r="1019" ht="15.75" customHeight="1">
      <c r="A1019" s="4" t="s">
        <v>8</v>
      </c>
      <c r="B1019" s="7">
        <v>45732.0</v>
      </c>
      <c r="C1019" s="4" t="s">
        <v>196</v>
      </c>
      <c r="D1019" s="4" t="s">
        <v>24</v>
      </c>
      <c r="E1019" s="8">
        <v>75.0</v>
      </c>
      <c r="F1019" s="4" t="str">
        <f t="shared" si="1"/>
        <v>500 &amp; Below</v>
      </c>
    </row>
    <row r="1020" ht="15.75" customHeight="1">
      <c r="A1020" s="4" t="s">
        <v>8</v>
      </c>
      <c r="B1020" s="7">
        <v>45732.0</v>
      </c>
      <c r="C1020" s="4" t="s">
        <v>196</v>
      </c>
      <c r="D1020" s="4" t="s">
        <v>117</v>
      </c>
      <c r="E1020" s="8">
        <v>50.0</v>
      </c>
      <c r="F1020" s="4" t="str">
        <f t="shared" si="1"/>
        <v>500 &amp; Below</v>
      </c>
    </row>
    <row r="1021" ht="15.75" customHeight="1">
      <c r="A1021" s="4" t="s">
        <v>8</v>
      </c>
      <c r="B1021" s="7">
        <v>45732.0</v>
      </c>
      <c r="C1021" s="4" t="s">
        <v>196</v>
      </c>
      <c r="D1021" s="4" t="s">
        <v>3183</v>
      </c>
      <c r="E1021" s="8">
        <v>586.0</v>
      </c>
      <c r="F1021" s="4" t="str">
        <f t="shared" si="1"/>
        <v>Above 500</v>
      </c>
    </row>
    <row r="1022" ht="15.75" customHeight="1">
      <c r="A1022" s="4" t="s">
        <v>8</v>
      </c>
      <c r="B1022" s="7">
        <v>45732.0</v>
      </c>
      <c r="C1022" s="4" t="s">
        <v>196</v>
      </c>
      <c r="D1022" s="4" t="s">
        <v>3184</v>
      </c>
      <c r="E1022" s="8">
        <v>10.0</v>
      </c>
      <c r="F1022" s="4" t="str">
        <f t="shared" si="1"/>
        <v>500 &amp; Below</v>
      </c>
    </row>
    <row r="1023" ht="15.75" customHeight="1">
      <c r="A1023" s="4" t="s">
        <v>8</v>
      </c>
      <c r="B1023" s="7">
        <v>45733.0</v>
      </c>
      <c r="C1023" s="4" t="s">
        <v>196</v>
      </c>
      <c r="D1023" s="4" t="s">
        <v>119</v>
      </c>
      <c r="E1023" s="8">
        <v>55.0</v>
      </c>
      <c r="F1023" s="4" t="str">
        <f t="shared" si="1"/>
        <v>500 &amp; Below</v>
      </c>
    </row>
    <row r="1024" ht="15.75" customHeight="1">
      <c r="A1024" s="4" t="s">
        <v>8</v>
      </c>
      <c r="B1024" s="7">
        <v>45733.0</v>
      </c>
      <c r="C1024" s="4" t="s">
        <v>196</v>
      </c>
      <c r="D1024" s="4" t="s">
        <v>1392</v>
      </c>
      <c r="E1024" s="8">
        <v>140.0</v>
      </c>
      <c r="F1024" s="4" t="str">
        <f t="shared" si="1"/>
        <v>500 &amp; Below</v>
      </c>
    </row>
    <row r="1025" ht="15.75" customHeight="1">
      <c r="A1025" s="4" t="s">
        <v>8</v>
      </c>
      <c r="B1025" s="7">
        <v>45733.0</v>
      </c>
      <c r="C1025" s="4" t="s">
        <v>196</v>
      </c>
      <c r="D1025" s="4" t="s">
        <v>3084</v>
      </c>
      <c r="E1025" s="8">
        <v>60.0</v>
      </c>
      <c r="F1025" s="4" t="str">
        <f t="shared" si="1"/>
        <v>500 &amp; Below</v>
      </c>
    </row>
    <row r="1026" ht="15.75" customHeight="1">
      <c r="A1026" s="4" t="s">
        <v>8</v>
      </c>
      <c r="B1026" s="7">
        <v>45734.0</v>
      </c>
      <c r="C1026" s="4" t="s">
        <v>196</v>
      </c>
      <c r="D1026" s="4" t="s">
        <v>60</v>
      </c>
      <c r="E1026" s="8">
        <v>654.5</v>
      </c>
      <c r="F1026" s="4" t="str">
        <f t="shared" si="1"/>
        <v>Above 500</v>
      </c>
    </row>
    <row r="1027" ht="15.75" customHeight="1">
      <c r="A1027" s="4" t="s">
        <v>8</v>
      </c>
      <c r="B1027" s="7">
        <v>45734.0</v>
      </c>
      <c r="C1027" s="4" t="s">
        <v>196</v>
      </c>
      <c r="D1027" s="4" t="s">
        <v>28</v>
      </c>
      <c r="E1027" s="8">
        <v>66.0</v>
      </c>
      <c r="F1027" s="4" t="str">
        <f t="shared" si="1"/>
        <v>500 &amp; Below</v>
      </c>
    </row>
    <row r="1028" ht="15.75" customHeight="1">
      <c r="A1028" s="4" t="s">
        <v>8</v>
      </c>
      <c r="B1028" s="7">
        <v>45735.0</v>
      </c>
      <c r="C1028" s="4" t="s">
        <v>196</v>
      </c>
      <c r="D1028" s="4" t="s">
        <v>1983</v>
      </c>
      <c r="E1028" s="8">
        <v>10.0</v>
      </c>
      <c r="F1028" s="4" t="str">
        <f t="shared" si="1"/>
        <v>500 &amp; Below</v>
      </c>
    </row>
    <row r="1029" ht="15.75" customHeight="1">
      <c r="A1029" s="4" t="s">
        <v>8</v>
      </c>
      <c r="B1029" s="7">
        <v>45735.0</v>
      </c>
      <c r="C1029" s="4" t="s">
        <v>196</v>
      </c>
      <c r="D1029" s="4" t="s">
        <v>97</v>
      </c>
      <c r="E1029" s="8">
        <v>330.0</v>
      </c>
      <c r="F1029" s="4" t="str">
        <f t="shared" si="1"/>
        <v>500 &amp; Below</v>
      </c>
    </row>
    <row r="1030" ht="15.75" customHeight="1">
      <c r="A1030" s="4" t="s">
        <v>8</v>
      </c>
      <c r="B1030" s="7">
        <v>45735.0</v>
      </c>
      <c r="C1030" s="4" t="s">
        <v>196</v>
      </c>
      <c r="D1030" s="4" t="s">
        <v>2751</v>
      </c>
      <c r="E1030" s="8">
        <v>5000.0</v>
      </c>
      <c r="F1030" s="4" t="str">
        <f t="shared" si="1"/>
        <v>Above 500</v>
      </c>
    </row>
    <row r="1031" ht="15.75" customHeight="1">
      <c r="A1031" s="4" t="s">
        <v>8</v>
      </c>
      <c r="B1031" s="7">
        <v>45735.0</v>
      </c>
      <c r="C1031" s="4" t="s">
        <v>196</v>
      </c>
      <c r="D1031" s="4" t="s">
        <v>69</v>
      </c>
      <c r="E1031" s="8">
        <v>199.0</v>
      </c>
      <c r="F1031" s="4" t="str">
        <f t="shared" si="1"/>
        <v>500 &amp; Below</v>
      </c>
    </row>
    <row r="1032" ht="15.75" customHeight="1">
      <c r="A1032" s="4" t="s">
        <v>8</v>
      </c>
      <c r="B1032" s="7">
        <v>45735.0</v>
      </c>
      <c r="C1032" s="4" t="s">
        <v>196</v>
      </c>
      <c r="D1032" s="4" t="s">
        <v>121</v>
      </c>
      <c r="E1032" s="8">
        <v>2450.0</v>
      </c>
      <c r="F1032" s="4" t="str">
        <f t="shared" si="1"/>
        <v>Above 500</v>
      </c>
    </row>
    <row r="1033" ht="15.75" customHeight="1">
      <c r="A1033" s="4" t="s">
        <v>8</v>
      </c>
      <c r="B1033" s="7">
        <v>45736.0</v>
      </c>
      <c r="C1033" s="4" t="s">
        <v>196</v>
      </c>
      <c r="D1033" s="4" t="s">
        <v>36</v>
      </c>
      <c r="E1033" s="8">
        <v>2015.0</v>
      </c>
      <c r="F1033" s="4" t="str">
        <f t="shared" si="1"/>
        <v>Above 500</v>
      </c>
    </row>
    <row r="1034" ht="15.75" customHeight="1">
      <c r="A1034" s="4" t="s">
        <v>8</v>
      </c>
      <c r="B1034" s="7">
        <v>45737.0</v>
      </c>
      <c r="C1034" s="4" t="s">
        <v>196</v>
      </c>
      <c r="D1034" s="4" t="s">
        <v>2600</v>
      </c>
      <c r="E1034" s="8">
        <v>19.0</v>
      </c>
      <c r="F1034" s="4" t="str">
        <f t="shared" si="1"/>
        <v>500 &amp; Below</v>
      </c>
    </row>
    <row r="1035" ht="15.75" customHeight="1">
      <c r="A1035" s="4" t="s">
        <v>8</v>
      </c>
      <c r="B1035" s="7">
        <v>45737.0</v>
      </c>
      <c r="C1035" s="4" t="s">
        <v>196</v>
      </c>
      <c r="D1035" s="4" t="s">
        <v>3185</v>
      </c>
      <c r="E1035" s="8">
        <v>30.0</v>
      </c>
      <c r="F1035" s="4" t="str">
        <f t="shared" si="1"/>
        <v>500 &amp; Below</v>
      </c>
    </row>
    <row r="1036" ht="15.75" customHeight="1">
      <c r="A1036" s="4" t="s">
        <v>8</v>
      </c>
      <c r="B1036" s="7">
        <v>45737.0</v>
      </c>
      <c r="C1036" s="4" t="s">
        <v>196</v>
      </c>
      <c r="D1036" s="4" t="s">
        <v>989</v>
      </c>
      <c r="E1036" s="8">
        <v>340.0</v>
      </c>
      <c r="F1036" s="4" t="str">
        <f t="shared" si="1"/>
        <v>500 &amp; Below</v>
      </c>
    </row>
    <row r="1037" ht="15.75" customHeight="1">
      <c r="A1037" s="4" t="s">
        <v>8</v>
      </c>
      <c r="B1037" s="7">
        <v>45737.0</v>
      </c>
      <c r="C1037" s="4" t="s">
        <v>196</v>
      </c>
      <c r="D1037" s="4" t="s">
        <v>3186</v>
      </c>
      <c r="E1037" s="8">
        <v>570.0</v>
      </c>
      <c r="F1037" s="4" t="str">
        <f t="shared" si="1"/>
        <v>Above 500</v>
      </c>
    </row>
    <row r="1038" ht="15.75" customHeight="1">
      <c r="A1038" s="4" t="s">
        <v>8</v>
      </c>
      <c r="B1038" s="7">
        <v>45737.0</v>
      </c>
      <c r="C1038" s="4" t="s">
        <v>196</v>
      </c>
      <c r="D1038" s="4" t="s">
        <v>1179</v>
      </c>
      <c r="E1038" s="8">
        <v>85.0</v>
      </c>
      <c r="F1038" s="4" t="str">
        <f t="shared" si="1"/>
        <v>500 &amp; Below</v>
      </c>
    </row>
    <row r="1039" ht="15.75" customHeight="1">
      <c r="A1039" s="4" t="s">
        <v>8</v>
      </c>
      <c r="B1039" s="7">
        <v>45737.0</v>
      </c>
      <c r="C1039" s="4" t="s">
        <v>196</v>
      </c>
      <c r="D1039" s="4" t="s">
        <v>119</v>
      </c>
      <c r="E1039" s="8">
        <v>154.0</v>
      </c>
      <c r="F1039" s="4" t="str">
        <f t="shared" si="1"/>
        <v>500 &amp; Below</v>
      </c>
    </row>
    <row r="1040" ht="15.75" customHeight="1">
      <c r="A1040" s="4" t="s">
        <v>8</v>
      </c>
      <c r="B1040" s="7">
        <v>45737.0</v>
      </c>
      <c r="C1040" s="4" t="s">
        <v>196</v>
      </c>
      <c r="D1040" s="4" t="s">
        <v>121</v>
      </c>
      <c r="E1040" s="8">
        <v>500.0</v>
      </c>
      <c r="F1040" s="4" t="str">
        <f t="shared" si="1"/>
        <v>500 &amp; Below</v>
      </c>
    </row>
    <row r="1041" ht="15.75" customHeight="1">
      <c r="A1041" s="4" t="s">
        <v>8</v>
      </c>
      <c r="B1041" s="7">
        <v>45737.0</v>
      </c>
      <c r="C1041" s="4" t="s">
        <v>196</v>
      </c>
      <c r="D1041" s="4" t="s">
        <v>25</v>
      </c>
      <c r="E1041" s="8">
        <v>80.0</v>
      </c>
      <c r="F1041" s="4" t="str">
        <f t="shared" si="1"/>
        <v>500 &amp; Below</v>
      </c>
    </row>
    <row r="1042" ht="15.75" customHeight="1">
      <c r="A1042" s="4" t="s">
        <v>8</v>
      </c>
      <c r="B1042" s="7">
        <v>45737.0</v>
      </c>
      <c r="C1042" s="4" t="s">
        <v>196</v>
      </c>
      <c r="D1042" s="4" t="s">
        <v>3183</v>
      </c>
      <c r="E1042" s="8">
        <v>4555.0</v>
      </c>
      <c r="F1042" s="4" t="str">
        <f t="shared" si="1"/>
        <v>Above 500</v>
      </c>
    </row>
    <row r="1043" ht="15.75" customHeight="1">
      <c r="A1043" s="4" t="s">
        <v>8</v>
      </c>
      <c r="B1043" s="7">
        <v>45738.0</v>
      </c>
      <c r="C1043" s="4" t="s">
        <v>196</v>
      </c>
      <c r="D1043" s="4" t="s">
        <v>826</v>
      </c>
      <c r="E1043" s="8">
        <v>80.0</v>
      </c>
      <c r="F1043" s="4" t="str">
        <f t="shared" si="1"/>
        <v>500 &amp; Below</v>
      </c>
    </row>
    <row r="1044" ht="15.75" customHeight="1">
      <c r="A1044" s="4" t="s">
        <v>8</v>
      </c>
      <c r="B1044" s="7">
        <v>45739.0</v>
      </c>
      <c r="C1044" s="4" t="s">
        <v>196</v>
      </c>
      <c r="D1044" s="4" t="s">
        <v>3187</v>
      </c>
      <c r="E1044" s="8">
        <v>150.0</v>
      </c>
      <c r="F1044" s="4" t="str">
        <f t="shared" si="1"/>
        <v>500 &amp; Below</v>
      </c>
    </row>
    <row r="1045" ht="15.75" customHeight="1">
      <c r="A1045" s="4" t="s">
        <v>8</v>
      </c>
      <c r="B1045" s="7">
        <v>45739.0</v>
      </c>
      <c r="C1045" s="4" t="s">
        <v>196</v>
      </c>
      <c r="D1045" s="4" t="s">
        <v>826</v>
      </c>
      <c r="E1045" s="8">
        <v>96.0</v>
      </c>
      <c r="F1045" s="4" t="str">
        <f t="shared" si="1"/>
        <v>500 &amp; Below</v>
      </c>
    </row>
    <row r="1046" ht="15.75" customHeight="1">
      <c r="A1046" s="4" t="s">
        <v>8</v>
      </c>
      <c r="B1046" s="7">
        <v>45740.0</v>
      </c>
      <c r="C1046" s="4" t="s">
        <v>196</v>
      </c>
      <c r="D1046" s="4" t="s">
        <v>3161</v>
      </c>
      <c r="E1046" s="8">
        <v>22.0</v>
      </c>
      <c r="F1046" s="4" t="str">
        <f t="shared" si="1"/>
        <v>500 &amp; Below</v>
      </c>
    </row>
    <row r="1047" ht="15.75" customHeight="1">
      <c r="A1047" s="4" t="s">
        <v>8</v>
      </c>
      <c r="B1047" s="7">
        <v>45740.0</v>
      </c>
      <c r="C1047" s="4" t="s">
        <v>196</v>
      </c>
      <c r="D1047" s="4" t="s">
        <v>79</v>
      </c>
      <c r="E1047" s="8">
        <v>68.0</v>
      </c>
      <c r="F1047" s="4" t="str">
        <f t="shared" si="1"/>
        <v>500 &amp; Below</v>
      </c>
    </row>
    <row r="1048" ht="15.75" customHeight="1">
      <c r="A1048" s="4" t="s">
        <v>8</v>
      </c>
      <c r="B1048" s="7">
        <v>45741.0</v>
      </c>
      <c r="C1048" s="4" t="s">
        <v>196</v>
      </c>
      <c r="D1048" s="4" t="s">
        <v>1392</v>
      </c>
      <c r="E1048" s="8">
        <v>190.0</v>
      </c>
      <c r="F1048" s="4" t="str">
        <f t="shared" si="1"/>
        <v>500 &amp; Below</v>
      </c>
    </row>
    <row r="1049" ht="15.75" customHeight="1">
      <c r="A1049" s="4" t="s">
        <v>8</v>
      </c>
      <c r="B1049" s="7">
        <v>45741.0</v>
      </c>
      <c r="C1049" s="4" t="s">
        <v>196</v>
      </c>
      <c r="D1049" s="4" t="s">
        <v>3187</v>
      </c>
      <c r="E1049" s="8">
        <v>80.0</v>
      </c>
      <c r="F1049" s="4" t="str">
        <f t="shared" si="1"/>
        <v>500 &amp; Below</v>
      </c>
    </row>
    <row r="1050" ht="15.75" customHeight="1">
      <c r="A1050" s="4" t="s">
        <v>8</v>
      </c>
      <c r="B1050" s="7">
        <v>45741.0</v>
      </c>
      <c r="C1050" s="4" t="s">
        <v>196</v>
      </c>
      <c r="D1050" s="4" t="s">
        <v>826</v>
      </c>
      <c r="E1050" s="8">
        <v>46.0</v>
      </c>
      <c r="F1050" s="4" t="str">
        <f t="shared" si="1"/>
        <v>500 &amp; Below</v>
      </c>
    </row>
    <row r="1051" ht="15.75" customHeight="1">
      <c r="A1051" s="4" t="s">
        <v>8</v>
      </c>
      <c r="B1051" s="7">
        <v>45743.0</v>
      </c>
      <c r="C1051" s="4" t="s">
        <v>196</v>
      </c>
      <c r="D1051" s="4" t="s">
        <v>3188</v>
      </c>
      <c r="E1051" s="8">
        <v>2000.0</v>
      </c>
      <c r="F1051" s="4" t="str">
        <f t="shared" si="1"/>
        <v>Above 500</v>
      </c>
    </row>
    <row r="1052" ht="15.75" customHeight="1">
      <c r="A1052" s="4" t="s">
        <v>8</v>
      </c>
      <c r="B1052" s="7">
        <v>45744.0</v>
      </c>
      <c r="C1052" s="4" t="s">
        <v>196</v>
      </c>
      <c r="D1052" s="4" t="s">
        <v>2605</v>
      </c>
      <c r="E1052" s="8">
        <v>20.0</v>
      </c>
      <c r="F1052" s="4" t="str">
        <f t="shared" si="1"/>
        <v>500 &amp; Below</v>
      </c>
    </row>
    <row r="1053" ht="15.75" customHeight="1">
      <c r="A1053" s="4" t="s">
        <v>8</v>
      </c>
      <c r="B1053" s="7">
        <v>45744.0</v>
      </c>
      <c r="C1053" s="4" t="s">
        <v>196</v>
      </c>
      <c r="D1053" s="4" t="s">
        <v>39</v>
      </c>
      <c r="E1053" s="8">
        <v>80.0</v>
      </c>
      <c r="F1053" s="4" t="str">
        <f t="shared" si="1"/>
        <v>500 &amp; Below</v>
      </c>
    </row>
    <row r="1054" ht="15.75" customHeight="1">
      <c r="A1054" s="4" t="s">
        <v>8</v>
      </c>
      <c r="B1054" s="7">
        <v>45745.0</v>
      </c>
      <c r="C1054" s="4" t="s">
        <v>196</v>
      </c>
      <c r="D1054" s="4" t="s">
        <v>25</v>
      </c>
      <c r="E1054" s="8">
        <v>20.0</v>
      </c>
      <c r="F1054" s="4" t="str">
        <f t="shared" si="1"/>
        <v>500 &amp; Below</v>
      </c>
    </row>
    <row r="1055" ht="15.75" customHeight="1">
      <c r="A1055" s="4" t="s">
        <v>8</v>
      </c>
      <c r="B1055" s="7">
        <v>45745.0</v>
      </c>
      <c r="C1055" s="4" t="s">
        <v>196</v>
      </c>
      <c r="D1055" s="4" t="s">
        <v>119</v>
      </c>
      <c r="E1055" s="8">
        <v>370.0</v>
      </c>
      <c r="F1055" s="4" t="str">
        <f t="shared" si="1"/>
        <v>500 &amp; Below</v>
      </c>
    </row>
    <row r="1056" ht="15.75" customHeight="1">
      <c r="A1056" s="4" t="s">
        <v>8</v>
      </c>
      <c r="B1056" s="7">
        <v>45745.0</v>
      </c>
      <c r="C1056" s="4" t="s">
        <v>196</v>
      </c>
      <c r="D1056" s="4" t="s">
        <v>1453</v>
      </c>
      <c r="E1056" s="8">
        <v>50.0</v>
      </c>
      <c r="F1056" s="4" t="str">
        <f t="shared" si="1"/>
        <v>500 &amp; Below</v>
      </c>
    </row>
    <row r="1057" ht="15.75" customHeight="1">
      <c r="A1057" s="4" t="s">
        <v>8</v>
      </c>
      <c r="B1057" s="7">
        <v>45745.0</v>
      </c>
      <c r="C1057" s="4" t="s">
        <v>196</v>
      </c>
      <c r="D1057" s="4" t="s">
        <v>41</v>
      </c>
      <c r="E1057" s="8">
        <v>145.0</v>
      </c>
      <c r="F1057" s="4" t="str">
        <f t="shared" si="1"/>
        <v>500 &amp; Below</v>
      </c>
    </row>
    <row r="1058" ht="15.75" customHeight="1">
      <c r="A1058" s="4" t="s">
        <v>8</v>
      </c>
      <c r="B1058" s="7">
        <v>45746.0</v>
      </c>
      <c r="C1058" s="4" t="s">
        <v>196</v>
      </c>
      <c r="D1058" s="4" t="s">
        <v>2143</v>
      </c>
      <c r="E1058" s="8">
        <v>240.0</v>
      </c>
      <c r="F1058" s="4" t="str">
        <f t="shared" si="1"/>
        <v>500 &amp; Below</v>
      </c>
    </row>
    <row r="1059" ht="15.75" customHeight="1">
      <c r="A1059" s="4" t="s">
        <v>8</v>
      </c>
      <c r="B1059" s="7">
        <v>45746.0</v>
      </c>
      <c r="C1059" s="4" t="s">
        <v>196</v>
      </c>
      <c r="D1059" s="4" t="s">
        <v>3189</v>
      </c>
      <c r="E1059" s="8">
        <v>10.0</v>
      </c>
      <c r="F1059" s="4" t="str">
        <f t="shared" si="1"/>
        <v>500 &amp; Below</v>
      </c>
    </row>
    <row r="1060" ht="15.75" customHeight="1">
      <c r="A1060" s="4" t="s">
        <v>8</v>
      </c>
      <c r="B1060" s="7">
        <v>45747.0</v>
      </c>
      <c r="C1060" s="4" t="s">
        <v>196</v>
      </c>
      <c r="D1060" s="4" t="s">
        <v>3190</v>
      </c>
      <c r="E1060" s="8">
        <v>140.0</v>
      </c>
      <c r="F1060" s="4" t="str">
        <f t="shared" si="1"/>
        <v>500 &amp; Below</v>
      </c>
    </row>
    <row r="1061" ht="15.75" customHeight="1">
      <c r="A1061" s="4" t="s">
        <v>8</v>
      </c>
      <c r="B1061" s="7">
        <v>45747.0</v>
      </c>
      <c r="C1061" s="4" t="s">
        <v>196</v>
      </c>
      <c r="D1061" s="4" t="s">
        <v>79</v>
      </c>
      <c r="E1061" s="8">
        <v>36.0</v>
      </c>
      <c r="F1061" s="4" t="str">
        <f t="shared" si="1"/>
        <v>500 &amp; Below</v>
      </c>
    </row>
    <row r="1062" ht="15.75" customHeight="1">
      <c r="A1062" s="4" t="s">
        <v>55</v>
      </c>
      <c r="B1062" s="7">
        <v>45748.0</v>
      </c>
      <c r="C1062" s="4" t="s">
        <v>274</v>
      </c>
      <c r="D1062" s="4" t="s">
        <v>532</v>
      </c>
      <c r="E1062" s="8">
        <v>203.0</v>
      </c>
      <c r="F1062" s="4" t="str">
        <f t="shared" si="1"/>
        <v>500 &amp; Below</v>
      </c>
    </row>
    <row r="1063" ht="15.75" customHeight="1">
      <c r="A1063" s="4" t="s">
        <v>55</v>
      </c>
      <c r="B1063" s="7">
        <v>45748.0</v>
      </c>
      <c r="C1063" s="4" t="s">
        <v>274</v>
      </c>
      <c r="D1063" s="4" t="s">
        <v>1917</v>
      </c>
      <c r="E1063" s="8">
        <v>20.0</v>
      </c>
      <c r="F1063" s="4" t="str">
        <f t="shared" si="1"/>
        <v>500 &amp; Below</v>
      </c>
    </row>
    <row r="1064" ht="15.75" customHeight="1">
      <c r="A1064" s="4" t="s">
        <v>55</v>
      </c>
      <c r="B1064" s="7">
        <v>45748.0</v>
      </c>
      <c r="C1064" s="4" t="s">
        <v>274</v>
      </c>
      <c r="D1064" s="4" t="s">
        <v>3191</v>
      </c>
      <c r="E1064" s="8">
        <v>60.0</v>
      </c>
      <c r="F1064" s="4" t="str">
        <f t="shared" si="1"/>
        <v>500 &amp; Below</v>
      </c>
    </row>
    <row r="1065" ht="15.75" customHeight="1">
      <c r="A1065" s="4" t="s">
        <v>55</v>
      </c>
      <c r="B1065" s="7">
        <v>45748.0</v>
      </c>
      <c r="C1065" s="4" t="s">
        <v>274</v>
      </c>
      <c r="D1065" s="4" t="s">
        <v>3192</v>
      </c>
      <c r="E1065" s="8">
        <v>30.0</v>
      </c>
      <c r="F1065" s="4" t="str">
        <f t="shared" si="1"/>
        <v>500 &amp; Below</v>
      </c>
    </row>
    <row r="1066" ht="15.75" customHeight="1">
      <c r="A1066" s="4" t="s">
        <v>55</v>
      </c>
      <c r="B1066" s="7">
        <v>45748.0</v>
      </c>
      <c r="C1066" s="4" t="s">
        <v>274</v>
      </c>
      <c r="D1066" s="4" t="s">
        <v>3193</v>
      </c>
      <c r="E1066" s="8">
        <v>10.0</v>
      </c>
      <c r="F1066" s="4" t="str">
        <f t="shared" si="1"/>
        <v>500 &amp; Below</v>
      </c>
    </row>
    <row r="1067" ht="15.75" customHeight="1">
      <c r="A1067" s="4" t="s">
        <v>55</v>
      </c>
      <c r="B1067" s="7">
        <v>45749.0</v>
      </c>
      <c r="C1067" s="4" t="s">
        <v>274</v>
      </c>
      <c r="D1067" s="4" t="s">
        <v>121</v>
      </c>
      <c r="E1067" s="8">
        <v>4000.0</v>
      </c>
      <c r="F1067" s="4" t="str">
        <f t="shared" si="1"/>
        <v>Above 500</v>
      </c>
    </row>
    <row r="1068" ht="15.75" customHeight="1">
      <c r="A1068" s="4" t="s">
        <v>55</v>
      </c>
      <c r="B1068" s="7">
        <v>45750.0</v>
      </c>
      <c r="C1068" s="4" t="s">
        <v>274</v>
      </c>
      <c r="D1068" s="4" t="s">
        <v>3194</v>
      </c>
      <c r="E1068" s="8">
        <v>482.6</v>
      </c>
      <c r="F1068" s="4" t="str">
        <f t="shared" si="1"/>
        <v>500 &amp; Below</v>
      </c>
    </row>
    <row r="1069" ht="15.75" customHeight="1">
      <c r="A1069" s="4" t="s">
        <v>55</v>
      </c>
      <c r="B1069" s="7">
        <v>45750.0</v>
      </c>
      <c r="C1069" s="4" t="s">
        <v>274</v>
      </c>
      <c r="D1069" s="4" t="s">
        <v>47</v>
      </c>
      <c r="E1069" s="8">
        <v>40.0</v>
      </c>
      <c r="F1069" s="4" t="str">
        <f t="shared" si="1"/>
        <v>500 &amp; Below</v>
      </c>
    </row>
    <row r="1070" ht="15.75" customHeight="1">
      <c r="A1070" s="4" t="s">
        <v>55</v>
      </c>
      <c r="B1070" s="7">
        <v>45750.0</v>
      </c>
      <c r="C1070" s="4" t="s">
        <v>274</v>
      </c>
      <c r="D1070" s="4" t="s">
        <v>113</v>
      </c>
      <c r="E1070" s="8">
        <v>90.0</v>
      </c>
      <c r="F1070" s="4" t="str">
        <f t="shared" si="1"/>
        <v>500 &amp; Below</v>
      </c>
    </row>
    <row r="1071" ht="15.75" customHeight="1">
      <c r="A1071" s="4" t="s">
        <v>55</v>
      </c>
      <c r="B1071" s="7">
        <v>45750.0</v>
      </c>
      <c r="C1071" s="4" t="s">
        <v>274</v>
      </c>
      <c r="D1071" s="4" t="s">
        <v>18</v>
      </c>
      <c r="E1071" s="8">
        <v>418.84</v>
      </c>
      <c r="F1071" s="4" t="str">
        <f t="shared" si="1"/>
        <v>500 &amp; Below</v>
      </c>
    </row>
    <row r="1072" ht="15.75" customHeight="1">
      <c r="A1072" s="4" t="s">
        <v>55</v>
      </c>
      <c r="B1072" s="7">
        <v>45750.0</v>
      </c>
      <c r="C1072" s="4" t="s">
        <v>274</v>
      </c>
      <c r="D1072" s="4" t="s">
        <v>102</v>
      </c>
      <c r="E1072" s="8">
        <v>10.0</v>
      </c>
      <c r="F1072" s="4" t="str">
        <f t="shared" si="1"/>
        <v>500 &amp; Below</v>
      </c>
    </row>
    <row r="1073" ht="15.75" customHeight="1">
      <c r="A1073" s="4" t="s">
        <v>55</v>
      </c>
      <c r="B1073" s="7">
        <v>45751.0</v>
      </c>
      <c r="C1073" s="4" t="s">
        <v>274</v>
      </c>
      <c r="D1073" s="4" t="s">
        <v>18</v>
      </c>
      <c r="E1073" s="8">
        <v>478.75</v>
      </c>
      <c r="F1073" s="4" t="str">
        <f t="shared" si="1"/>
        <v>500 &amp; Below</v>
      </c>
    </row>
    <row r="1074" ht="15.75" customHeight="1">
      <c r="A1074" s="4" t="s">
        <v>55</v>
      </c>
      <c r="B1074" s="7">
        <v>45751.0</v>
      </c>
      <c r="C1074" s="4" t="s">
        <v>274</v>
      </c>
      <c r="D1074" s="4" t="s">
        <v>1392</v>
      </c>
      <c r="E1074" s="8">
        <v>140.0</v>
      </c>
      <c r="F1074" s="4" t="str">
        <f t="shared" si="1"/>
        <v>500 &amp; Below</v>
      </c>
    </row>
    <row r="1075" ht="15.75" customHeight="1">
      <c r="A1075" s="4" t="s">
        <v>55</v>
      </c>
      <c r="B1075" s="7">
        <v>45751.0</v>
      </c>
      <c r="C1075" s="4" t="s">
        <v>274</v>
      </c>
      <c r="D1075" s="4" t="s">
        <v>3190</v>
      </c>
      <c r="E1075" s="8">
        <v>30.0</v>
      </c>
      <c r="F1075" s="4" t="str">
        <f t="shared" si="1"/>
        <v>500 &amp; Below</v>
      </c>
    </row>
    <row r="1076" ht="15.75" customHeight="1">
      <c r="A1076" s="4" t="s">
        <v>55</v>
      </c>
      <c r="B1076" s="7">
        <v>45753.0</v>
      </c>
      <c r="C1076" s="4" t="s">
        <v>274</v>
      </c>
      <c r="D1076" s="4" t="s">
        <v>124</v>
      </c>
      <c r="E1076" s="8">
        <v>22.0</v>
      </c>
      <c r="F1076" s="4" t="str">
        <f t="shared" si="1"/>
        <v>500 &amp; Below</v>
      </c>
    </row>
    <row r="1077" ht="15.75" customHeight="1">
      <c r="A1077" s="4" t="s">
        <v>55</v>
      </c>
      <c r="B1077" s="7">
        <v>45754.0</v>
      </c>
      <c r="C1077" s="4" t="s">
        <v>274</v>
      </c>
      <c r="D1077" s="4" t="s">
        <v>48</v>
      </c>
      <c r="E1077" s="8">
        <v>440.0</v>
      </c>
      <c r="F1077" s="4" t="str">
        <f t="shared" si="1"/>
        <v>500 &amp; Below</v>
      </c>
    </row>
    <row r="1078" ht="15.75" customHeight="1">
      <c r="A1078" s="4" t="s">
        <v>55</v>
      </c>
      <c r="B1078" s="7">
        <v>45754.0</v>
      </c>
      <c r="C1078" s="4" t="s">
        <v>274</v>
      </c>
      <c r="D1078" s="4" t="s">
        <v>3195</v>
      </c>
      <c r="E1078" s="8">
        <v>49.0</v>
      </c>
      <c r="F1078" s="4" t="str">
        <f t="shared" si="1"/>
        <v>500 &amp; Below</v>
      </c>
    </row>
    <row r="1079" ht="15.75" customHeight="1">
      <c r="A1079" s="4" t="s">
        <v>55</v>
      </c>
      <c r="B1079" s="7">
        <v>45754.0</v>
      </c>
      <c r="C1079" s="4" t="s">
        <v>274</v>
      </c>
      <c r="D1079" s="4" t="s">
        <v>3193</v>
      </c>
      <c r="E1079" s="8">
        <v>10.0</v>
      </c>
      <c r="F1079" s="4" t="str">
        <f t="shared" si="1"/>
        <v>500 &amp; Below</v>
      </c>
    </row>
    <row r="1080" ht="15.75" customHeight="1">
      <c r="A1080" s="4" t="s">
        <v>55</v>
      </c>
      <c r="B1080" s="7">
        <v>45755.0</v>
      </c>
      <c r="C1080" s="4" t="s">
        <v>274</v>
      </c>
      <c r="D1080" s="4" t="s">
        <v>194</v>
      </c>
      <c r="E1080" s="8">
        <v>10.0</v>
      </c>
      <c r="F1080" s="4" t="str">
        <f t="shared" si="1"/>
        <v>500 &amp; Below</v>
      </c>
    </row>
    <row r="1081" ht="15.75" customHeight="1">
      <c r="A1081" s="4" t="s">
        <v>55</v>
      </c>
      <c r="B1081" s="7">
        <v>45755.0</v>
      </c>
      <c r="C1081" s="4" t="s">
        <v>274</v>
      </c>
      <c r="D1081" s="4" t="s">
        <v>194</v>
      </c>
      <c r="E1081" s="8">
        <v>350.0</v>
      </c>
      <c r="F1081" s="4" t="str">
        <f t="shared" si="1"/>
        <v>500 &amp; Below</v>
      </c>
    </row>
    <row r="1082" ht="15.75" customHeight="1">
      <c r="A1082" s="4" t="s">
        <v>55</v>
      </c>
      <c r="B1082" s="7">
        <v>45755.0</v>
      </c>
      <c r="C1082" s="4" t="s">
        <v>274</v>
      </c>
      <c r="D1082" s="4" t="s">
        <v>194</v>
      </c>
      <c r="E1082" s="8">
        <v>20.0</v>
      </c>
      <c r="F1082" s="4" t="str">
        <f t="shared" si="1"/>
        <v>500 &amp; Below</v>
      </c>
    </row>
    <row r="1083" ht="15.75" customHeight="1">
      <c r="A1083" s="4" t="s">
        <v>55</v>
      </c>
      <c r="B1083" s="7">
        <v>45755.0</v>
      </c>
      <c r="C1083" s="4" t="s">
        <v>274</v>
      </c>
      <c r="D1083" s="4" t="s">
        <v>108</v>
      </c>
      <c r="E1083" s="8">
        <v>20.0</v>
      </c>
      <c r="F1083" s="4" t="str">
        <f t="shared" si="1"/>
        <v>500 &amp; Below</v>
      </c>
    </row>
    <row r="1084" ht="15.75" customHeight="1">
      <c r="A1084" s="4" t="s">
        <v>55</v>
      </c>
      <c r="B1084" s="7">
        <v>45757.0</v>
      </c>
      <c r="C1084" s="4" t="s">
        <v>274</v>
      </c>
      <c r="D1084" s="4" t="s">
        <v>52</v>
      </c>
      <c r="E1084" s="8">
        <v>338.0</v>
      </c>
      <c r="F1084" s="4" t="str">
        <f t="shared" si="1"/>
        <v>500 &amp; Below</v>
      </c>
    </row>
    <row r="1085" ht="15.75" customHeight="1">
      <c r="A1085" s="4" t="s">
        <v>55</v>
      </c>
      <c r="B1085" s="7">
        <v>45757.0</v>
      </c>
      <c r="C1085" s="4" t="s">
        <v>274</v>
      </c>
      <c r="D1085" s="4" t="s">
        <v>18</v>
      </c>
      <c r="E1085" s="8">
        <v>359.4</v>
      </c>
      <c r="F1085" s="4" t="str">
        <f t="shared" si="1"/>
        <v>500 &amp; Below</v>
      </c>
    </row>
    <row r="1086" ht="15.75" customHeight="1">
      <c r="A1086" s="4" t="s">
        <v>55</v>
      </c>
      <c r="B1086" s="7">
        <v>45757.0</v>
      </c>
      <c r="C1086" s="4" t="s">
        <v>274</v>
      </c>
      <c r="D1086" s="4" t="s">
        <v>1517</v>
      </c>
      <c r="E1086" s="8">
        <v>85.0</v>
      </c>
      <c r="F1086" s="4" t="str">
        <f t="shared" si="1"/>
        <v>500 &amp; Below</v>
      </c>
    </row>
    <row r="1087" ht="15.75" customHeight="1">
      <c r="A1087" s="4" t="s">
        <v>55</v>
      </c>
      <c r="B1087" s="7">
        <v>45757.0</v>
      </c>
      <c r="C1087" s="4" t="s">
        <v>274</v>
      </c>
      <c r="D1087" s="4" t="s">
        <v>103</v>
      </c>
      <c r="E1087" s="8">
        <v>320.0</v>
      </c>
      <c r="F1087" s="4" t="str">
        <f t="shared" si="1"/>
        <v>500 &amp; Below</v>
      </c>
    </row>
    <row r="1088" ht="15.75" customHeight="1">
      <c r="A1088" s="4" t="s">
        <v>55</v>
      </c>
      <c r="B1088" s="7">
        <v>45757.0</v>
      </c>
      <c r="C1088" s="4" t="s">
        <v>274</v>
      </c>
      <c r="D1088" s="4" t="s">
        <v>24</v>
      </c>
      <c r="E1088" s="8">
        <v>20.0</v>
      </c>
      <c r="F1088" s="4" t="str">
        <f t="shared" si="1"/>
        <v>500 &amp; Below</v>
      </c>
    </row>
    <row r="1089" ht="15.75" customHeight="1">
      <c r="A1089" s="4" t="s">
        <v>55</v>
      </c>
      <c r="B1089" s="7">
        <v>45758.0</v>
      </c>
      <c r="C1089" s="4" t="s">
        <v>274</v>
      </c>
      <c r="D1089" s="4" t="s">
        <v>37</v>
      </c>
      <c r="E1089" s="8">
        <v>349.0</v>
      </c>
      <c r="F1089" s="4" t="str">
        <f t="shared" si="1"/>
        <v>500 &amp; Below</v>
      </c>
    </row>
    <row r="1090" ht="15.75" customHeight="1">
      <c r="A1090" s="4" t="s">
        <v>55</v>
      </c>
      <c r="B1090" s="7">
        <v>45759.0</v>
      </c>
      <c r="C1090" s="4" t="s">
        <v>274</v>
      </c>
      <c r="D1090" s="4" t="s">
        <v>2607</v>
      </c>
      <c r="E1090" s="8">
        <v>40.0</v>
      </c>
      <c r="F1090" s="4" t="str">
        <f t="shared" si="1"/>
        <v>500 &amp; Below</v>
      </c>
    </row>
    <row r="1091" ht="15.75" customHeight="1">
      <c r="A1091" s="4" t="s">
        <v>55</v>
      </c>
      <c r="B1091" s="7">
        <v>45759.0</v>
      </c>
      <c r="C1091" s="4" t="s">
        <v>274</v>
      </c>
      <c r="D1091" s="4" t="s">
        <v>3196</v>
      </c>
      <c r="E1091" s="8">
        <v>200.0</v>
      </c>
      <c r="F1091" s="4" t="str">
        <f t="shared" si="1"/>
        <v>500 &amp; Below</v>
      </c>
    </row>
    <row r="1092" ht="15.75" customHeight="1">
      <c r="A1092" s="4" t="s">
        <v>55</v>
      </c>
      <c r="B1092" s="7">
        <v>45759.0</v>
      </c>
      <c r="C1092" s="4" t="s">
        <v>274</v>
      </c>
      <c r="D1092" s="4" t="s">
        <v>2565</v>
      </c>
      <c r="E1092" s="8">
        <v>22.0</v>
      </c>
      <c r="F1092" s="4" t="str">
        <f t="shared" si="1"/>
        <v>500 &amp; Below</v>
      </c>
    </row>
    <row r="1093" ht="15.75" customHeight="1">
      <c r="A1093" s="4" t="s">
        <v>55</v>
      </c>
      <c r="B1093" s="7">
        <v>45760.0</v>
      </c>
      <c r="C1093" s="4" t="s">
        <v>274</v>
      </c>
      <c r="D1093" s="4" t="s">
        <v>124</v>
      </c>
      <c r="E1093" s="8">
        <v>299.0</v>
      </c>
      <c r="F1093" s="4" t="str">
        <f t="shared" si="1"/>
        <v>500 &amp; Below</v>
      </c>
    </row>
    <row r="1094" ht="15.75" customHeight="1">
      <c r="A1094" s="4" t="s">
        <v>55</v>
      </c>
      <c r="B1094" s="7">
        <v>45760.0</v>
      </c>
      <c r="C1094" s="4" t="s">
        <v>274</v>
      </c>
      <c r="D1094" s="4" t="s">
        <v>3197</v>
      </c>
      <c r="E1094" s="8">
        <v>40.0</v>
      </c>
      <c r="F1094" s="4" t="str">
        <f t="shared" si="1"/>
        <v>500 &amp; Below</v>
      </c>
    </row>
    <row r="1095" ht="15.75" customHeight="1">
      <c r="A1095" s="4" t="s">
        <v>55</v>
      </c>
      <c r="B1095" s="7">
        <v>45760.0</v>
      </c>
      <c r="C1095" s="4" t="s">
        <v>274</v>
      </c>
      <c r="D1095" s="4" t="s">
        <v>36</v>
      </c>
      <c r="E1095" s="8">
        <v>2572.0</v>
      </c>
      <c r="F1095" s="4" t="str">
        <f t="shared" si="1"/>
        <v>Above 500</v>
      </c>
    </row>
    <row r="1096" ht="15.75" customHeight="1">
      <c r="A1096" s="4" t="s">
        <v>55</v>
      </c>
      <c r="B1096" s="7">
        <v>45760.0</v>
      </c>
      <c r="C1096" s="4" t="s">
        <v>274</v>
      </c>
      <c r="D1096" s="4" t="s">
        <v>36</v>
      </c>
      <c r="E1096" s="8">
        <v>1811.0</v>
      </c>
      <c r="F1096" s="4" t="str">
        <f t="shared" si="1"/>
        <v>Above 500</v>
      </c>
    </row>
    <row r="1097" ht="15.75" customHeight="1">
      <c r="A1097" s="4" t="s">
        <v>55</v>
      </c>
      <c r="B1097" s="7">
        <v>45760.0</v>
      </c>
      <c r="C1097" s="4" t="s">
        <v>274</v>
      </c>
      <c r="D1097" s="4" t="s">
        <v>3198</v>
      </c>
      <c r="E1097" s="8">
        <v>120.0</v>
      </c>
      <c r="F1097" s="4" t="str">
        <f t="shared" si="1"/>
        <v>500 &amp; Below</v>
      </c>
    </row>
    <row r="1098" ht="15.75" customHeight="1">
      <c r="A1098" s="4" t="s">
        <v>55</v>
      </c>
      <c r="B1098" s="7">
        <v>45760.0</v>
      </c>
      <c r="C1098" s="4" t="s">
        <v>274</v>
      </c>
      <c r="D1098" s="4" t="s">
        <v>3193</v>
      </c>
      <c r="E1098" s="8">
        <v>10.0</v>
      </c>
      <c r="F1098" s="4" t="str">
        <f t="shared" si="1"/>
        <v>500 &amp; Below</v>
      </c>
    </row>
    <row r="1099" ht="15.75" customHeight="1">
      <c r="A1099" s="4" t="s">
        <v>55</v>
      </c>
      <c r="B1099" s="7">
        <v>45761.0</v>
      </c>
      <c r="C1099" s="4" t="s">
        <v>274</v>
      </c>
      <c r="D1099" s="4" t="s">
        <v>375</v>
      </c>
      <c r="E1099" s="8">
        <v>145.0</v>
      </c>
      <c r="F1099" s="4" t="str">
        <f t="shared" si="1"/>
        <v>500 &amp; Below</v>
      </c>
    </row>
    <row r="1100" ht="15.75" customHeight="1">
      <c r="A1100" s="4" t="s">
        <v>55</v>
      </c>
      <c r="B1100" s="7">
        <v>45761.0</v>
      </c>
      <c r="C1100" s="4" t="s">
        <v>274</v>
      </c>
      <c r="D1100" s="4" t="s">
        <v>117</v>
      </c>
      <c r="E1100" s="8">
        <v>50.0</v>
      </c>
      <c r="F1100" s="4" t="str">
        <f t="shared" si="1"/>
        <v>500 &amp; Below</v>
      </c>
    </row>
    <row r="1101" ht="15.75" customHeight="1">
      <c r="A1101" s="4" t="s">
        <v>55</v>
      </c>
      <c r="B1101" s="7">
        <v>45761.0</v>
      </c>
      <c r="C1101" s="4" t="s">
        <v>274</v>
      </c>
      <c r="D1101" s="4" t="s">
        <v>106</v>
      </c>
      <c r="E1101" s="8">
        <v>20.0</v>
      </c>
      <c r="F1101" s="4" t="str">
        <f t="shared" si="1"/>
        <v>500 &amp; Below</v>
      </c>
    </row>
    <row r="1102" ht="15.75" customHeight="1">
      <c r="A1102" s="4" t="s">
        <v>55</v>
      </c>
      <c r="B1102" s="7">
        <v>45762.0</v>
      </c>
      <c r="C1102" s="4" t="s">
        <v>274</v>
      </c>
      <c r="D1102" s="4" t="s">
        <v>106</v>
      </c>
      <c r="E1102" s="8">
        <v>40.0</v>
      </c>
      <c r="F1102" s="4" t="str">
        <f t="shared" si="1"/>
        <v>500 &amp; Below</v>
      </c>
    </row>
    <row r="1103" ht="15.75" customHeight="1">
      <c r="A1103" s="4" t="s">
        <v>55</v>
      </c>
      <c r="B1103" s="7">
        <v>45762.0</v>
      </c>
      <c r="C1103" s="4" t="s">
        <v>274</v>
      </c>
      <c r="D1103" s="4" t="s">
        <v>117</v>
      </c>
      <c r="E1103" s="8">
        <v>45.0</v>
      </c>
      <c r="F1103" s="4" t="str">
        <f t="shared" si="1"/>
        <v>500 &amp; Below</v>
      </c>
    </row>
    <row r="1104" ht="15.75" customHeight="1">
      <c r="A1104" s="4" t="s">
        <v>55</v>
      </c>
      <c r="B1104" s="7">
        <v>45762.0</v>
      </c>
      <c r="C1104" s="4" t="s">
        <v>274</v>
      </c>
      <c r="D1104" s="4" t="s">
        <v>3199</v>
      </c>
      <c r="E1104" s="8">
        <v>60.0</v>
      </c>
      <c r="F1104" s="4" t="str">
        <f t="shared" si="1"/>
        <v>500 &amp; Below</v>
      </c>
    </row>
    <row r="1105" ht="15.75" customHeight="1">
      <c r="A1105" s="4" t="s">
        <v>55</v>
      </c>
      <c r="B1105" s="7">
        <v>45763.0</v>
      </c>
      <c r="C1105" s="4" t="s">
        <v>274</v>
      </c>
      <c r="D1105" s="4" t="s">
        <v>623</v>
      </c>
      <c r="E1105" s="8">
        <v>199.0</v>
      </c>
      <c r="F1105" s="4" t="str">
        <f t="shared" si="1"/>
        <v>500 &amp; Below</v>
      </c>
    </row>
    <row r="1106" ht="15.75" customHeight="1">
      <c r="A1106" s="4" t="s">
        <v>55</v>
      </c>
      <c r="B1106" s="7">
        <v>45763.0</v>
      </c>
      <c r="C1106" s="4" t="s">
        <v>274</v>
      </c>
      <c r="D1106" s="4" t="s">
        <v>832</v>
      </c>
      <c r="E1106" s="8">
        <v>859.0</v>
      </c>
      <c r="F1106" s="4" t="str">
        <f t="shared" si="1"/>
        <v>Above 500</v>
      </c>
    </row>
    <row r="1107" ht="15.75" customHeight="1">
      <c r="A1107" s="4" t="s">
        <v>55</v>
      </c>
      <c r="B1107" s="7">
        <v>45763.0</v>
      </c>
      <c r="C1107" s="4" t="s">
        <v>274</v>
      </c>
      <c r="D1107" s="4" t="s">
        <v>36</v>
      </c>
      <c r="E1107" s="8">
        <v>2297.0</v>
      </c>
      <c r="F1107" s="4" t="str">
        <f t="shared" si="1"/>
        <v>Above 500</v>
      </c>
    </row>
    <row r="1108" ht="15.75" customHeight="1">
      <c r="A1108" s="4" t="s">
        <v>55</v>
      </c>
      <c r="B1108" s="7">
        <v>45764.0</v>
      </c>
      <c r="C1108" s="4" t="s">
        <v>274</v>
      </c>
      <c r="D1108" s="4" t="s">
        <v>106</v>
      </c>
      <c r="E1108" s="8">
        <v>30.0</v>
      </c>
      <c r="F1108" s="4" t="str">
        <f t="shared" si="1"/>
        <v>500 &amp; Below</v>
      </c>
    </row>
    <row r="1109" ht="15.75" customHeight="1">
      <c r="A1109" s="4" t="s">
        <v>55</v>
      </c>
      <c r="B1109" s="7">
        <v>45765.0</v>
      </c>
      <c r="C1109" s="4" t="s">
        <v>274</v>
      </c>
      <c r="D1109" s="4" t="s">
        <v>39</v>
      </c>
      <c r="E1109" s="8">
        <v>10.0</v>
      </c>
      <c r="F1109" s="4" t="str">
        <f t="shared" si="1"/>
        <v>500 &amp; Below</v>
      </c>
    </row>
    <row r="1110" ht="15.75" customHeight="1">
      <c r="A1110" s="4" t="s">
        <v>55</v>
      </c>
      <c r="B1110" s="7">
        <v>45765.0</v>
      </c>
      <c r="C1110" s="4" t="s">
        <v>274</v>
      </c>
      <c r="D1110" s="4" t="s">
        <v>79</v>
      </c>
      <c r="E1110" s="8">
        <v>20.0</v>
      </c>
      <c r="F1110" s="4" t="str">
        <f t="shared" si="1"/>
        <v>500 &amp; Below</v>
      </c>
    </row>
    <row r="1111" ht="15.75" customHeight="1">
      <c r="A1111" s="4" t="s">
        <v>55</v>
      </c>
      <c r="B1111" s="7">
        <v>45766.0</v>
      </c>
      <c r="C1111" s="4" t="s">
        <v>274</v>
      </c>
      <c r="D1111" s="4" t="s">
        <v>97</v>
      </c>
      <c r="E1111" s="8">
        <v>330.0</v>
      </c>
      <c r="F1111" s="4" t="str">
        <f t="shared" si="1"/>
        <v>500 &amp; Below</v>
      </c>
    </row>
    <row r="1112" ht="15.75" customHeight="1">
      <c r="A1112" s="4" t="s">
        <v>55</v>
      </c>
      <c r="B1112" s="7">
        <v>45766.0</v>
      </c>
      <c r="C1112" s="4" t="s">
        <v>274</v>
      </c>
      <c r="D1112" s="4" t="s">
        <v>121</v>
      </c>
      <c r="E1112" s="8">
        <v>3000.0</v>
      </c>
      <c r="F1112" s="4" t="str">
        <f t="shared" si="1"/>
        <v>Above 500</v>
      </c>
    </row>
    <row r="1113" ht="15.75" customHeight="1">
      <c r="A1113" s="4" t="s">
        <v>55</v>
      </c>
      <c r="B1113" s="7">
        <v>45766.0</v>
      </c>
      <c r="C1113" s="4" t="s">
        <v>274</v>
      </c>
      <c r="D1113" s="4" t="s">
        <v>121</v>
      </c>
      <c r="E1113" s="8">
        <v>100.0</v>
      </c>
      <c r="F1113" s="4" t="str">
        <f t="shared" si="1"/>
        <v>500 &amp; Below</v>
      </c>
    </row>
    <row r="1114" ht="15.75" customHeight="1">
      <c r="A1114" s="4" t="s">
        <v>55</v>
      </c>
      <c r="B1114" s="7">
        <v>45768.0</v>
      </c>
      <c r="C1114" s="4" t="s">
        <v>274</v>
      </c>
      <c r="D1114" s="4" t="s">
        <v>3193</v>
      </c>
      <c r="E1114" s="8">
        <v>10.0</v>
      </c>
      <c r="F1114" s="4" t="str">
        <f t="shared" si="1"/>
        <v>500 &amp; Below</v>
      </c>
    </row>
    <row r="1115" ht="15.75" customHeight="1">
      <c r="A1115" s="4" t="s">
        <v>55</v>
      </c>
      <c r="B1115" s="7">
        <v>45768.0</v>
      </c>
      <c r="C1115" s="4" t="s">
        <v>274</v>
      </c>
      <c r="D1115" s="4" t="s">
        <v>2605</v>
      </c>
      <c r="E1115" s="8">
        <v>59.0</v>
      </c>
      <c r="F1115" s="4" t="str">
        <f t="shared" si="1"/>
        <v>500 &amp; Below</v>
      </c>
    </row>
    <row r="1116" ht="15.75" customHeight="1">
      <c r="A1116" s="4" t="s">
        <v>55</v>
      </c>
      <c r="B1116" s="7">
        <v>45768.0</v>
      </c>
      <c r="C1116" s="4" t="s">
        <v>274</v>
      </c>
      <c r="D1116" s="4" t="s">
        <v>3200</v>
      </c>
      <c r="E1116" s="8">
        <v>50.0</v>
      </c>
      <c r="F1116" s="4" t="str">
        <f t="shared" si="1"/>
        <v>500 &amp; Below</v>
      </c>
    </row>
    <row r="1117" ht="15.75" customHeight="1">
      <c r="A1117" s="4" t="s">
        <v>55</v>
      </c>
      <c r="B1117" s="7">
        <v>45768.0</v>
      </c>
      <c r="C1117" s="4" t="s">
        <v>274</v>
      </c>
      <c r="D1117" s="4" t="s">
        <v>24</v>
      </c>
      <c r="E1117" s="8">
        <v>20.0</v>
      </c>
      <c r="F1117" s="4" t="str">
        <f t="shared" si="1"/>
        <v>500 &amp; Below</v>
      </c>
    </row>
    <row r="1118" ht="15.75" customHeight="1">
      <c r="A1118" s="4" t="s">
        <v>55</v>
      </c>
      <c r="B1118" s="7">
        <v>45769.0</v>
      </c>
      <c r="C1118" s="4" t="s">
        <v>274</v>
      </c>
      <c r="D1118" s="4" t="s">
        <v>3190</v>
      </c>
      <c r="E1118" s="8">
        <v>40.0</v>
      </c>
      <c r="F1118" s="4" t="str">
        <f t="shared" si="1"/>
        <v>500 &amp; Below</v>
      </c>
    </row>
    <row r="1119" ht="15.75" customHeight="1">
      <c r="A1119" s="4" t="s">
        <v>55</v>
      </c>
      <c r="B1119" s="7">
        <v>45769.0</v>
      </c>
      <c r="C1119" s="4" t="s">
        <v>274</v>
      </c>
      <c r="D1119" s="4" t="s">
        <v>39</v>
      </c>
      <c r="E1119" s="8">
        <v>10.0</v>
      </c>
      <c r="F1119" s="4" t="str">
        <f t="shared" si="1"/>
        <v>500 &amp; Below</v>
      </c>
    </row>
    <row r="1120" ht="15.75" customHeight="1">
      <c r="A1120" s="4" t="s">
        <v>55</v>
      </c>
      <c r="B1120" s="7">
        <v>45769.0</v>
      </c>
      <c r="C1120" s="4" t="s">
        <v>274</v>
      </c>
      <c r="D1120" s="4" t="s">
        <v>2309</v>
      </c>
      <c r="E1120" s="8">
        <v>860.0</v>
      </c>
      <c r="F1120" s="4" t="str">
        <f t="shared" si="1"/>
        <v>Above 500</v>
      </c>
    </row>
    <row r="1121" ht="15.75" customHeight="1">
      <c r="A1121" s="4" t="s">
        <v>55</v>
      </c>
      <c r="B1121" s="7">
        <v>45769.0</v>
      </c>
      <c r="C1121" s="4" t="s">
        <v>274</v>
      </c>
      <c r="D1121" s="4" t="s">
        <v>18</v>
      </c>
      <c r="E1121" s="8">
        <v>199.7</v>
      </c>
      <c r="F1121" s="4" t="str">
        <f t="shared" si="1"/>
        <v>500 &amp; Below</v>
      </c>
    </row>
    <row r="1122" ht="15.75" customHeight="1">
      <c r="A1122" s="4" t="s">
        <v>55</v>
      </c>
      <c r="B1122" s="7">
        <v>45769.0</v>
      </c>
      <c r="C1122" s="4" t="s">
        <v>274</v>
      </c>
      <c r="D1122" s="4" t="s">
        <v>1392</v>
      </c>
      <c r="E1122" s="8">
        <v>275.0</v>
      </c>
      <c r="F1122" s="4" t="str">
        <f t="shared" si="1"/>
        <v>500 &amp; Below</v>
      </c>
    </row>
    <row r="1123" ht="15.75" customHeight="1">
      <c r="A1123" s="4" t="s">
        <v>55</v>
      </c>
      <c r="B1123" s="7">
        <v>45769.0</v>
      </c>
      <c r="C1123" s="4" t="s">
        <v>274</v>
      </c>
      <c r="D1123" s="4" t="s">
        <v>3194</v>
      </c>
      <c r="E1123" s="8">
        <v>1402.2</v>
      </c>
      <c r="F1123" s="4" t="str">
        <f t="shared" si="1"/>
        <v>Above 500</v>
      </c>
    </row>
    <row r="1124" ht="15.75" customHeight="1">
      <c r="A1124" s="4" t="s">
        <v>55</v>
      </c>
      <c r="B1124" s="7">
        <v>45769.0</v>
      </c>
      <c r="C1124" s="4" t="s">
        <v>274</v>
      </c>
      <c r="D1124" s="4" t="s">
        <v>1506</v>
      </c>
      <c r="E1124" s="8">
        <v>90.0</v>
      </c>
      <c r="F1124" s="4" t="str">
        <f t="shared" si="1"/>
        <v>500 &amp; Below</v>
      </c>
    </row>
    <row r="1125" ht="15.75" customHeight="1">
      <c r="A1125" s="4" t="s">
        <v>55</v>
      </c>
      <c r="B1125" s="7">
        <v>45769.0</v>
      </c>
      <c r="C1125" s="4" t="s">
        <v>274</v>
      </c>
      <c r="D1125" s="4" t="s">
        <v>1237</v>
      </c>
      <c r="E1125" s="8">
        <v>860.0</v>
      </c>
      <c r="F1125" s="4" t="str">
        <f t="shared" si="1"/>
        <v>Above 500</v>
      </c>
    </row>
    <row r="1126" ht="15.75" customHeight="1">
      <c r="A1126" s="4" t="s">
        <v>55</v>
      </c>
      <c r="B1126" s="7">
        <v>45770.0</v>
      </c>
      <c r="C1126" s="4" t="s">
        <v>274</v>
      </c>
      <c r="D1126" s="4" t="s">
        <v>3201</v>
      </c>
      <c r="E1126" s="8">
        <v>250.0</v>
      </c>
      <c r="F1126" s="4" t="str">
        <f t="shared" si="1"/>
        <v>500 &amp; Below</v>
      </c>
    </row>
    <row r="1127" ht="15.75" customHeight="1">
      <c r="A1127" s="4" t="s">
        <v>55</v>
      </c>
      <c r="B1127" s="7">
        <v>45770.0</v>
      </c>
      <c r="C1127" s="4" t="s">
        <v>274</v>
      </c>
      <c r="D1127" s="4" t="s">
        <v>3202</v>
      </c>
      <c r="E1127" s="8">
        <v>55.0</v>
      </c>
      <c r="F1127" s="4" t="str">
        <f t="shared" si="1"/>
        <v>500 &amp; Below</v>
      </c>
    </row>
    <row r="1128" ht="15.75" customHeight="1">
      <c r="A1128" s="4" t="s">
        <v>55</v>
      </c>
      <c r="B1128" s="7">
        <v>45770.0</v>
      </c>
      <c r="C1128" s="4" t="s">
        <v>274</v>
      </c>
      <c r="D1128" s="4" t="s">
        <v>3203</v>
      </c>
      <c r="E1128" s="8">
        <v>40.0</v>
      </c>
      <c r="F1128" s="4" t="str">
        <f t="shared" si="1"/>
        <v>500 &amp; Below</v>
      </c>
    </row>
    <row r="1129" ht="15.75" customHeight="1">
      <c r="A1129" s="4" t="s">
        <v>55</v>
      </c>
      <c r="B1129" s="7">
        <v>45770.0</v>
      </c>
      <c r="C1129" s="4" t="s">
        <v>274</v>
      </c>
      <c r="D1129" s="4" t="s">
        <v>3204</v>
      </c>
      <c r="E1129" s="8">
        <v>2400.0</v>
      </c>
      <c r="F1129" s="4" t="str">
        <f t="shared" si="1"/>
        <v>Above 500</v>
      </c>
    </row>
    <row r="1130" ht="15.75" customHeight="1">
      <c r="A1130" s="4" t="s">
        <v>55</v>
      </c>
      <c r="B1130" s="7">
        <v>45770.0</v>
      </c>
      <c r="C1130" s="4" t="s">
        <v>274</v>
      </c>
      <c r="D1130" s="4" t="s">
        <v>106</v>
      </c>
      <c r="E1130" s="8">
        <v>20.0</v>
      </c>
      <c r="F1130" s="4" t="str">
        <f t="shared" si="1"/>
        <v>500 &amp; Below</v>
      </c>
    </row>
    <row r="1131" ht="15.75" customHeight="1">
      <c r="A1131" s="4" t="s">
        <v>55</v>
      </c>
      <c r="B1131" s="7">
        <v>45771.0</v>
      </c>
      <c r="C1131" s="4" t="s">
        <v>274</v>
      </c>
      <c r="D1131" s="4" t="s">
        <v>3161</v>
      </c>
      <c r="E1131" s="8">
        <v>489.0</v>
      </c>
      <c r="F1131" s="4" t="str">
        <f t="shared" si="1"/>
        <v>500 &amp; Below</v>
      </c>
    </row>
    <row r="1132" ht="15.75" customHeight="1">
      <c r="A1132" s="4" t="s">
        <v>55</v>
      </c>
      <c r="B1132" s="7">
        <v>45771.0</v>
      </c>
      <c r="C1132" s="4" t="s">
        <v>274</v>
      </c>
      <c r="D1132" s="4" t="s">
        <v>194</v>
      </c>
      <c r="E1132" s="8">
        <v>10.0</v>
      </c>
      <c r="F1132" s="4" t="str">
        <f t="shared" si="1"/>
        <v>500 &amp; Below</v>
      </c>
    </row>
    <row r="1133" ht="15.75" customHeight="1">
      <c r="A1133" s="4" t="s">
        <v>55</v>
      </c>
      <c r="B1133" s="7">
        <v>45771.0</v>
      </c>
      <c r="C1133" s="4" t="s">
        <v>274</v>
      </c>
      <c r="D1133" s="4" t="s">
        <v>46</v>
      </c>
      <c r="E1133" s="8">
        <v>80.0</v>
      </c>
      <c r="F1133" s="4" t="str">
        <f t="shared" si="1"/>
        <v>500 &amp; Below</v>
      </c>
    </row>
    <row r="1134" ht="15.75" customHeight="1">
      <c r="A1134" s="4" t="s">
        <v>55</v>
      </c>
      <c r="B1134" s="7">
        <v>45771.0</v>
      </c>
      <c r="C1134" s="4" t="s">
        <v>274</v>
      </c>
      <c r="D1134" s="4" t="s">
        <v>46</v>
      </c>
      <c r="E1134" s="8">
        <v>400.0</v>
      </c>
      <c r="F1134" s="4" t="str">
        <f t="shared" si="1"/>
        <v>500 &amp; Below</v>
      </c>
    </row>
    <row r="1135" ht="15.75" customHeight="1">
      <c r="A1135" s="4" t="s">
        <v>55</v>
      </c>
      <c r="B1135" s="7">
        <v>45771.0</v>
      </c>
      <c r="C1135" s="4" t="s">
        <v>274</v>
      </c>
      <c r="D1135" s="4" t="s">
        <v>194</v>
      </c>
      <c r="E1135" s="8">
        <v>20.0</v>
      </c>
      <c r="F1135" s="4" t="str">
        <f t="shared" si="1"/>
        <v>500 &amp; Below</v>
      </c>
    </row>
    <row r="1136" ht="15.75" customHeight="1">
      <c r="A1136" s="4" t="s">
        <v>55</v>
      </c>
      <c r="B1136" s="7">
        <v>45771.0</v>
      </c>
      <c r="C1136" s="4" t="s">
        <v>274</v>
      </c>
      <c r="D1136" s="4" t="s">
        <v>194</v>
      </c>
      <c r="E1136" s="8">
        <v>10.0</v>
      </c>
      <c r="F1136" s="4" t="str">
        <f t="shared" si="1"/>
        <v>500 &amp; Below</v>
      </c>
    </row>
    <row r="1137" ht="15.75" customHeight="1">
      <c r="A1137" s="4" t="s">
        <v>55</v>
      </c>
      <c r="B1137" s="7">
        <v>45772.0</v>
      </c>
      <c r="C1137" s="4" t="s">
        <v>274</v>
      </c>
      <c r="D1137" s="4" t="s">
        <v>3205</v>
      </c>
      <c r="E1137" s="8">
        <v>150.0</v>
      </c>
      <c r="F1137" s="4" t="str">
        <f t="shared" si="1"/>
        <v>500 &amp; Below</v>
      </c>
    </row>
    <row r="1138" ht="15.75" customHeight="1">
      <c r="A1138" s="4" t="s">
        <v>55</v>
      </c>
      <c r="B1138" s="7">
        <v>45772.0</v>
      </c>
      <c r="C1138" s="4" t="s">
        <v>274</v>
      </c>
      <c r="D1138" s="4" t="s">
        <v>1237</v>
      </c>
      <c r="E1138" s="8">
        <v>2000.0</v>
      </c>
      <c r="F1138" s="4" t="str">
        <f t="shared" si="1"/>
        <v>Above 500</v>
      </c>
    </row>
    <row r="1139" ht="15.75" customHeight="1">
      <c r="A1139" s="4" t="s">
        <v>55</v>
      </c>
      <c r="B1139" s="7">
        <v>45772.0</v>
      </c>
      <c r="C1139" s="4" t="s">
        <v>274</v>
      </c>
      <c r="D1139" s="4" t="s">
        <v>3206</v>
      </c>
      <c r="E1139" s="8">
        <v>900.0</v>
      </c>
      <c r="F1139" s="4" t="str">
        <f t="shared" si="1"/>
        <v>Above 500</v>
      </c>
    </row>
    <row r="1140" ht="15.75" customHeight="1">
      <c r="A1140" s="4" t="s">
        <v>55</v>
      </c>
      <c r="B1140" s="7">
        <v>45772.0</v>
      </c>
      <c r="C1140" s="4" t="s">
        <v>274</v>
      </c>
      <c r="D1140" s="4" t="s">
        <v>115</v>
      </c>
      <c r="E1140" s="8">
        <v>190.0</v>
      </c>
      <c r="F1140" s="4" t="str">
        <f t="shared" si="1"/>
        <v>500 &amp; Below</v>
      </c>
    </row>
    <row r="1141" ht="15.75" customHeight="1">
      <c r="A1141" s="4" t="s">
        <v>55</v>
      </c>
      <c r="B1141" s="7">
        <v>45773.0</v>
      </c>
      <c r="C1141" s="4" t="s">
        <v>274</v>
      </c>
      <c r="D1141" s="4" t="s">
        <v>3161</v>
      </c>
      <c r="E1141" s="8">
        <v>49.0</v>
      </c>
      <c r="F1141" s="4" t="str">
        <f t="shared" si="1"/>
        <v>500 &amp; Below</v>
      </c>
    </row>
    <row r="1142" ht="15.75" customHeight="1">
      <c r="A1142" s="4" t="s">
        <v>55</v>
      </c>
      <c r="B1142" s="7">
        <v>45773.0</v>
      </c>
      <c r="C1142" s="4" t="s">
        <v>274</v>
      </c>
      <c r="D1142" s="4" t="s">
        <v>2309</v>
      </c>
      <c r="E1142" s="8">
        <v>775.0</v>
      </c>
      <c r="F1142" s="4" t="str">
        <f t="shared" si="1"/>
        <v>Above 500</v>
      </c>
    </row>
    <row r="1143" ht="15.75" customHeight="1">
      <c r="A1143" s="4" t="s">
        <v>55</v>
      </c>
      <c r="B1143" s="7">
        <v>45774.0</v>
      </c>
      <c r="C1143" s="4" t="s">
        <v>274</v>
      </c>
      <c r="D1143" s="4" t="s">
        <v>3207</v>
      </c>
      <c r="E1143" s="8">
        <v>25.0</v>
      </c>
      <c r="F1143" s="4" t="str">
        <f t="shared" si="1"/>
        <v>500 &amp; Below</v>
      </c>
    </row>
    <row r="1144" ht="15.75" customHeight="1">
      <c r="A1144" s="4" t="s">
        <v>55</v>
      </c>
      <c r="B1144" s="7">
        <v>45774.0</v>
      </c>
      <c r="C1144" s="4" t="s">
        <v>274</v>
      </c>
      <c r="D1144" s="4" t="s">
        <v>3208</v>
      </c>
      <c r="E1144" s="8">
        <v>160.0</v>
      </c>
      <c r="F1144" s="4" t="str">
        <f t="shared" si="1"/>
        <v>500 &amp; Below</v>
      </c>
    </row>
    <row r="1145" ht="15.75" customHeight="1">
      <c r="A1145" s="4" t="s">
        <v>55</v>
      </c>
      <c r="B1145" s="7">
        <v>45775.0</v>
      </c>
      <c r="C1145" s="4" t="s">
        <v>274</v>
      </c>
      <c r="D1145" s="4" t="s">
        <v>39</v>
      </c>
      <c r="E1145" s="8">
        <v>10.0</v>
      </c>
      <c r="F1145" s="4" t="str">
        <f t="shared" si="1"/>
        <v>500 &amp; Below</v>
      </c>
    </row>
    <row r="1146" ht="15.75" customHeight="1">
      <c r="A1146" s="4" t="s">
        <v>55</v>
      </c>
      <c r="B1146" s="7">
        <v>45775.0</v>
      </c>
      <c r="C1146" s="4" t="s">
        <v>274</v>
      </c>
      <c r="D1146" s="4" t="s">
        <v>1733</v>
      </c>
      <c r="E1146" s="8">
        <v>940.0</v>
      </c>
      <c r="F1146" s="4" t="str">
        <f t="shared" si="1"/>
        <v>Above 500</v>
      </c>
    </row>
    <row r="1147" ht="15.75" customHeight="1">
      <c r="A1147" s="4" t="s">
        <v>55</v>
      </c>
      <c r="B1147" s="7">
        <v>45775.0</v>
      </c>
      <c r="C1147" s="4" t="s">
        <v>274</v>
      </c>
      <c r="D1147" s="4" t="s">
        <v>3209</v>
      </c>
      <c r="E1147" s="8">
        <v>140.0</v>
      </c>
      <c r="F1147" s="4" t="str">
        <f t="shared" si="1"/>
        <v>500 &amp; Below</v>
      </c>
    </row>
    <row r="1148" ht="15.75" customHeight="1">
      <c r="A1148" s="4" t="s">
        <v>55</v>
      </c>
      <c r="B1148" s="7">
        <v>45775.0</v>
      </c>
      <c r="C1148" s="4" t="s">
        <v>274</v>
      </c>
      <c r="D1148" s="4" t="s">
        <v>2214</v>
      </c>
      <c r="E1148" s="8">
        <v>125.0</v>
      </c>
      <c r="F1148" s="4" t="str">
        <f t="shared" si="1"/>
        <v>500 &amp; Below</v>
      </c>
    </row>
    <row r="1149" ht="15.75" customHeight="1">
      <c r="A1149" s="4" t="s">
        <v>55</v>
      </c>
      <c r="B1149" s="7">
        <v>45775.0</v>
      </c>
      <c r="C1149" s="4" t="s">
        <v>274</v>
      </c>
      <c r="D1149" s="4" t="s">
        <v>3210</v>
      </c>
      <c r="E1149" s="8">
        <v>100.0</v>
      </c>
      <c r="F1149" s="4" t="str">
        <f t="shared" si="1"/>
        <v>500 &amp; Below</v>
      </c>
    </row>
    <row r="1150" ht="15.75" customHeight="1">
      <c r="A1150" s="4" t="s">
        <v>55</v>
      </c>
      <c r="B1150" s="7">
        <v>45775.0</v>
      </c>
      <c r="C1150" s="4" t="s">
        <v>274</v>
      </c>
      <c r="D1150" s="4" t="s">
        <v>106</v>
      </c>
      <c r="E1150" s="8">
        <v>40.0</v>
      </c>
      <c r="F1150" s="4" t="str">
        <f t="shared" si="1"/>
        <v>500 &amp; Below</v>
      </c>
    </row>
    <row r="1151" ht="15.75" customHeight="1">
      <c r="A1151" s="4" t="s">
        <v>55</v>
      </c>
      <c r="B1151" s="7">
        <v>45775.0</v>
      </c>
      <c r="C1151" s="4" t="s">
        <v>274</v>
      </c>
      <c r="D1151" s="4" t="s">
        <v>2621</v>
      </c>
      <c r="E1151" s="8">
        <v>654.5</v>
      </c>
      <c r="F1151" s="4" t="str">
        <f t="shared" si="1"/>
        <v>Above 500</v>
      </c>
    </row>
    <row r="1152" ht="15.75" customHeight="1">
      <c r="A1152" s="4" t="s">
        <v>55</v>
      </c>
      <c r="B1152" s="7">
        <v>45776.0</v>
      </c>
      <c r="C1152" s="4" t="s">
        <v>274</v>
      </c>
      <c r="D1152" s="4" t="s">
        <v>832</v>
      </c>
      <c r="E1152" s="8">
        <v>22.0</v>
      </c>
      <c r="F1152" s="4" t="str">
        <f t="shared" si="1"/>
        <v>500 &amp; Below</v>
      </c>
    </row>
    <row r="1153" ht="15.75" customHeight="1">
      <c r="A1153" s="4" t="s">
        <v>55</v>
      </c>
      <c r="B1153" s="7">
        <v>45777.0</v>
      </c>
      <c r="C1153" s="4" t="s">
        <v>274</v>
      </c>
      <c r="D1153" s="4" t="s">
        <v>3211</v>
      </c>
      <c r="E1153" s="8">
        <v>1000.0</v>
      </c>
      <c r="F1153" s="4" t="str">
        <f t="shared" si="1"/>
        <v>Above 500</v>
      </c>
    </row>
    <row r="1154" ht="15.75" customHeight="1">
      <c r="A1154" s="4" t="s">
        <v>55</v>
      </c>
      <c r="B1154" s="7">
        <v>45777.0</v>
      </c>
      <c r="C1154" s="4" t="s">
        <v>274</v>
      </c>
      <c r="D1154" s="4" t="s">
        <v>106</v>
      </c>
      <c r="E1154" s="8">
        <v>10.0</v>
      </c>
      <c r="F1154" s="4" t="str">
        <f t="shared" si="1"/>
        <v>500 &amp; Below</v>
      </c>
    </row>
    <row r="1155" ht="15.75" customHeight="1">
      <c r="A1155" s="4" t="s">
        <v>55</v>
      </c>
      <c r="B1155" s="7">
        <v>45777.0</v>
      </c>
      <c r="C1155" s="4" t="s">
        <v>274</v>
      </c>
      <c r="D1155" s="4" t="s">
        <v>98</v>
      </c>
      <c r="E1155" s="8">
        <v>108.0</v>
      </c>
      <c r="F1155" s="4" t="str">
        <f t="shared" si="1"/>
        <v>500 &amp; Below</v>
      </c>
    </row>
    <row r="1156" ht="15.75" customHeight="1">
      <c r="A1156" s="4" t="s">
        <v>55</v>
      </c>
      <c r="B1156" s="7">
        <v>45777.0</v>
      </c>
      <c r="C1156" s="4" t="s">
        <v>274</v>
      </c>
      <c r="D1156" s="4" t="s">
        <v>39</v>
      </c>
      <c r="E1156" s="8">
        <v>15.0</v>
      </c>
      <c r="F1156" s="4" t="str">
        <f t="shared" si="1"/>
        <v>500 &amp; Below</v>
      </c>
    </row>
    <row r="1157" ht="15.75" customHeight="1">
      <c r="A1157" s="4" t="s">
        <v>55</v>
      </c>
      <c r="B1157" s="7">
        <v>45777.0</v>
      </c>
      <c r="C1157" s="4" t="s">
        <v>274</v>
      </c>
      <c r="D1157" s="4" t="s">
        <v>832</v>
      </c>
      <c r="E1157" s="8">
        <v>22.0</v>
      </c>
      <c r="F1157" s="4" t="str">
        <f t="shared" si="1"/>
        <v>500 &amp; Below</v>
      </c>
    </row>
    <row r="1158" ht="15.75" customHeight="1">
      <c r="A1158" s="4" t="s">
        <v>55</v>
      </c>
      <c r="B1158" s="7">
        <v>45778.0</v>
      </c>
      <c r="C1158" s="4" t="s">
        <v>335</v>
      </c>
      <c r="D1158" s="4" t="s">
        <v>532</v>
      </c>
      <c r="E1158" s="8">
        <v>210.0</v>
      </c>
      <c r="F1158" s="4" t="str">
        <f t="shared" si="1"/>
        <v>500 &amp; Below</v>
      </c>
    </row>
    <row r="1159" ht="15.75" customHeight="1">
      <c r="A1159" s="4" t="s">
        <v>55</v>
      </c>
      <c r="B1159" s="7">
        <v>45778.0</v>
      </c>
      <c r="C1159" s="4" t="s">
        <v>335</v>
      </c>
      <c r="D1159" s="4" t="s">
        <v>18</v>
      </c>
      <c r="E1159" s="8">
        <v>259.96</v>
      </c>
      <c r="F1159" s="4" t="str">
        <f t="shared" si="1"/>
        <v>500 &amp; Below</v>
      </c>
    </row>
    <row r="1160" ht="15.75" customHeight="1">
      <c r="A1160" s="4" t="s">
        <v>55</v>
      </c>
      <c r="B1160" s="7">
        <v>45778.0</v>
      </c>
      <c r="C1160" s="4" t="s">
        <v>335</v>
      </c>
      <c r="D1160" s="4" t="s">
        <v>3212</v>
      </c>
      <c r="E1160" s="8">
        <v>51.0</v>
      </c>
      <c r="F1160" s="4" t="str">
        <f t="shared" si="1"/>
        <v>500 &amp; Below</v>
      </c>
    </row>
    <row r="1161" ht="15.75" customHeight="1">
      <c r="A1161" s="4" t="s">
        <v>55</v>
      </c>
      <c r="B1161" s="7">
        <v>45778.0</v>
      </c>
      <c r="C1161" s="4" t="s">
        <v>335</v>
      </c>
      <c r="D1161" s="4" t="s">
        <v>3213</v>
      </c>
      <c r="E1161" s="8">
        <v>10.0</v>
      </c>
      <c r="F1161" s="4" t="str">
        <f t="shared" si="1"/>
        <v>500 &amp; Below</v>
      </c>
    </row>
    <row r="1162" ht="15.75" customHeight="1">
      <c r="A1162" s="4" t="s">
        <v>55</v>
      </c>
      <c r="B1162" s="7">
        <v>45778.0</v>
      </c>
      <c r="C1162" s="4" t="s">
        <v>335</v>
      </c>
      <c r="D1162" s="4" t="s">
        <v>32</v>
      </c>
      <c r="E1162" s="8">
        <v>22.0</v>
      </c>
      <c r="F1162" s="4" t="str">
        <f t="shared" si="1"/>
        <v>500 &amp; Below</v>
      </c>
    </row>
    <row r="1163" ht="15.75" customHeight="1">
      <c r="A1163" s="4" t="s">
        <v>55</v>
      </c>
      <c r="B1163" s="7">
        <v>45779.0</v>
      </c>
      <c r="C1163" s="4" t="s">
        <v>335</v>
      </c>
      <c r="D1163" s="4" t="s">
        <v>18</v>
      </c>
      <c r="E1163" s="8">
        <v>250.4</v>
      </c>
      <c r="F1163" s="4" t="str">
        <f t="shared" si="1"/>
        <v>500 &amp; Below</v>
      </c>
    </row>
    <row r="1164" ht="15.75" customHeight="1">
      <c r="A1164" s="4" t="s">
        <v>55</v>
      </c>
      <c r="B1164" s="7">
        <v>45779.0</v>
      </c>
      <c r="C1164" s="4" t="s">
        <v>335</v>
      </c>
      <c r="D1164" s="4" t="s">
        <v>39</v>
      </c>
      <c r="E1164" s="8">
        <v>10.0</v>
      </c>
      <c r="F1164" s="4" t="str">
        <f t="shared" si="1"/>
        <v>500 &amp; Below</v>
      </c>
    </row>
    <row r="1165" ht="15.75" customHeight="1">
      <c r="A1165" s="4" t="s">
        <v>55</v>
      </c>
      <c r="B1165" s="7">
        <v>45780.0</v>
      </c>
      <c r="C1165" s="4" t="s">
        <v>335</v>
      </c>
      <c r="D1165" s="4" t="s">
        <v>2607</v>
      </c>
      <c r="E1165" s="8">
        <v>40.0</v>
      </c>
      <c r="F1165" s="4" t="str">
        <f t="shared" si="1"/>
        <v>500 &amp; Below</v>
      </c>
    </row>
    <row r="1166" ht="15.75" customHeight="1">
      <c r="A1166" s="4" t="s">
        <v>55</v>
      </c>
      <c r="B1166" s="7">
        <v>45780.0</v>
      </c>
      <c r="C1166" s="4" t="s">
        <v>335</v>
      </c>
      <c r="D1166" s="4" t="s">
        <v>3193</v>
      </c>
      <c r="E1166" s="8">
        <v>10.0</v>
      </c>
      <c r="F1166" s="4" t="str">
        <f t="shared" si="1"/>
        <v>500 &amp; Below</v>
      </c>
    </row>
    <row r="1167" ht="15.75" customHeight="1">
      <c r="A1167" s="4" t="s">
        <v>55</v>
      </c>
      <c r="B1167" s="7">
        <v>45780.0</v>
      </c>
      <c r="C1167" s="4" t="s">
        <v>335</v>
      </c>
      <c r="D1167" s="4" t="s">
        <v>108</v>
      </c>
      <c r="E1167" s="8">
        <v>4.0</v>
      </c>
      <c r="F1167" s="4" t="str">
        <f t="shared" si="1"/>
        <v>500 &amp; Below</v>
      </c>
    </row>
    <row r="1168" ht="15.75" customHeight="1">
      <c r="A1168" s="4" t="s">
        <v>55</v>
      </c>
      <c r="B1168" s="7">
        <v>45781.0</v>
      </c>
      <c r="C1168" s="4" t="s">
        <v>335</v>
      </c>
      <c r="D1168" s="4" t="s">
        <v>832</v>
      </c>
      <c r="E1168" s="8">
        <v>22.0</v>
      </c>
      <c r="F1168" s="4" t="str">
        <f t="shared" si="1"/>
        <v>500 &amp; Below</v>
      </c>
    </row>
    <row r="1169" ht="15.75" customHeight="1">
      <c r="A1169" s="4" t="s">
        <v>55</v>
      </c>
      <c r="B1169" s="7">
        <v>45781.0</v>
      </c>
      <c r="C1169" s="4" t="s">
        <v>335</v>
      </c>
      <c r="D1169" s="4" t="s">
        <v>117</v>
      </c>
      <c r="E1169" s="8">
        <v>25.0</v>
      </c>
      <c r="F1169" s="4" t="str">
        <f t="shared" si="1"/>
        <v>500 &amp; Below</v>
      </c>
    </row>
    <row r="1170" ht="15.75" customHeight="1">
      <c r="A1170" s="4" t="s">
        <v>55</v>
      </c>
      <c r="B1170" s="7">
        <v>45781.0</v>
      </c>
      <c r="C1170" s="4" t="s">
        <v>335</v>
      </c>
      <c r="D1170" s="4" t="s">
        <v>2478</v>
      </c>
      <c r="E1170" s="8">
        <v>60.0</v>
      </c>
      <c r="F1170" s="4" t="str">
        <f t="shared" si="1"/>
        <v>500 &amp; Below</v>
      </c>
    </row>
    <row r="1171" ht="15.75" customHeight="1">
      <c r="A1171" s="4" t="s">
        <v>55</v>
      </c>
      <c r="B1171" s="7">
        <v>45781.0</v>
      </c>
      <c r="C1171" s="4" t="s">
        <v>335</v>
      </c>
      <c r="D1171" s="4" t="s">
        <v>3193</v>
      </c>
      <c r="E1171" s="8">
        <v>10.0</v>
      </c>
      <c r="F1171" s="4" t="str">
        <f t="shared" si="1"/>
        <v>500 &amp; Below</v>
      </c>
    </row>
    <row r="1172" ht="15.75" customHeight="1">
      <c r="A1172" s="4" t="s">
        <v>55</v>
      </c>
      <c r="B1172" s="7">
        <v>45781.0</v>
      </c>
      <c r="C1172" s="4" t="s">
        <v>335</v>
      </c>
      <c r="D1172" s="4" t="s">
        <v>3214</v>
      </c>
      <c r="E1172" s="8">
        <v>320.0</v>
      </c>
      <c r="F1172" s="4" t="str">
        <f t="shared" si="1"/>
        <v>500 &amp; Below</v>
      </c>
    </row>
    <row r="1173" ht="15.75" customHeight="1">
      <c r="A1173" s="4" t="s">
        <v>55</v>
      </c>
      <c r="B1173" s="7">
        <v>45783.0</v>
      </c>
      <c r="C1173" s="4" t="s">
        <v>335</v>
      </c>
      <c r="D1173" s="4" t="s">
        <v>832</v>
      </c>
      <c r="E1173" s="8">
        <v>22.0</v>
      </c>
      <c r="F1173" s="4" t="str">
        <f t="shared" si="1"/>
        <v>500 &amp; Below</v>
      </c>
    </row>
    <row r="1174" ht="15.75" customHeight="1">
      <c r="A1174" s="4" t="s">
        <v>55</v>
      </c>
      <c r="B1174" s="7">
        <v>45784.0</v>
      </c>
      <c r="C1174" s="4" t="s">
        <v>335</v>
      </c>
      <c r="D1174" s="4" t="s">
        <v>117</v>
      </c>
      <c r="E1174" s="8">
        <v>20.0</v>
      </c>
      <c r="F1174" s="4" t="str">
        <f t="shared" si="1"/>
        <v>500 &amp; Below</v>
      </c>
    </row>
    <row r="1175" ht="15.75" customHeight="1">
      <c r="A1175" s="4" t="s">
        <v>55</v>
      </c>
      <c r="B1175" s="7">
        <v>45784.0</v>
      </c>
      <c r="C1175" s="4" t="s">
        <v>335</v>
      </c>
      <c r="D1175" s="4" t="s">
        <v>79</v>
      </c>
      <c r="E1175" s="8">
        <v>20.0</v>
      </c>
      <c r="F1175" s="4" t="str">
        <f t="shared" si="1"/>
        <v>500 &amp; Below</v>
      </c>
    </row>
    <row r="1176" ht="15.75" customHeight="1">
      <c r="A1176" s="4" t="s">
        <v>55</v>
      </c>
      <c r="B1176" s="7">
        <v>45784.0</v>
      </c>
      <c r="C1176" s="4" t="s">
        <v>335</v>
      </c>
      <c r="D1176" s="4" t="s">
        <v>45</v>
      </c>
      <c r="E1176" s="8">
        <v>1191.0</v>
      </c>
      <c r="F1176" s="4" t="str">
        <f t="shared" si="1"/>
        <v>Above 500</v>
      </c>
    </row>
    <row r="1177" ht="15.75" customHeight="1">
      <c r="A1177" s="4" t="s">
        <v>55</v>
      </c>
      <c r="B1177" s="7">
        <v>45785.0</v>
      </c>
      <c r="C1177" s="4" t="s">
        <v>335</v>
      </c>
      <c r="D1177" s="4" t="s">
        <v>3215</v>
      </c>
      <c r="E1177" s="8">
        <v>920.0</v>
      </c>
      <c r="F1177" s="4" t="str">
        <f t="shared" si="1"/>
        <v>Above 500</v>
      </c>
    </row>
    <row r="1178" ht="15.75" customHeight="1">
      <c r="A1178" s="4" t="s">
        <v>55</v>
      </c>
      <c r="B1178" s="7">
        <v>45785.0</v>
      </c>
      <c r="C1178" s="4" t="s">
        <v>335</v>
      </c>
      <c r="D1178" s="4" t="s">
        <v>121</v>
      </c>
      <c r="E1178" s="8">
        <v>5000.0</v>
      </c>
      <c r="F1178" s="4" t="str">
        <f t="shared" si="1"/>
        <v>Above 500</v>
      </c>
    </row>
    <row r="1179" ht="15.75" customHeight="1">
      <c r="A1179" s="4" t="s">
        <v>55</v>
      </c>
      <c r="B1179" s="7">
        <v>45785.0</v>
      </c>
      <c r="C1179" s="4" t="s">
        <v>335</v>
      </c>
      <c r="D1179" s="4" t="s">
        <v>48</v>
      </c>
      <c r="E1179" s="8">
        <v>332.0</v>
      </c>
      <c r="F1179" s="4" t="str">
        <f t="shared" si="1"/>
        <v>500 &amp; Below</v>
      </c>
    </row>
    <row r="1180" ht="15.75" customHeight="1">
      <c r="A1180" s="4" t="s">
        <v>55</v>
      </c>
      <c r="B1180" s="7">
        <v>45785.0</v>
      </c>
      <c r="C1180" s="4" t="s">
        <v>335</v>
      </c>
      <c r="D1180" s="4" t="s">
        <v>18</v>
      </c>
      <c r="E1180" s="8">
        <v>408.33</v>
      </c>
      <c r="F1180" s="4" t="str">
        <f t="shared" si="1"/>
        <v>500 &amp; Below</v>
      </c>
    </row>
    <row r="1181" ht="15.75" customHeight="1">
      <c r="A1181" s="4" t="s">
        <v>55</v>
      </c>
      <c r="B1181" s="7">
        <v>45785.0</v>
      </c>
      <c r="C1181" s="4" t="s">
        <v>335</v>
      </c>
      <c r="D1181" s="4" t="s">
        <v>1392</v>
      </c>
      <c r="E1181" s="8">
        <v>130.0</v>
      </c>
      <c r="F1181" s="4" t="str">
        <f t="shared" si="1"/>
        <v>500 &amp; Below</v>
      </c>
    </row>
    <row r="1182" ht="15.75" customHeight="1">
      <c r="A1182" s="4" t="s">
        <v>55</v>
      </c>
      <c r="B1182" s="7">
        <v>45785.0</v>
      </c>
      <c r="C1182" s="4" t="s">
        <v>335</v>
      </c>
      <c r="D1182" s="4" t="s">
        <v>1754</v>
      </c>
      <c r="E1182" s="8">
        <v>40.0</v>
      </c>
      <c r="F1182" s="4" t="str">
        <f t="shared" si="1"/>
        <v>500 &amp; Below</v>
      </c>
    </row>
    <row r="1183" ht="15.75" customHeight="1">
      <c r="A1183" s="4" t="s">
        <v>55</v>
      </c>
      <c r="B1183" s="7">
        <v>45785.0</v>
      </c>
      <c r="C1183" s="4" t="s">
        <v>335</v>
      </c>
      <c r="D1183" s="4" t="s">
        <v>102</v>
      </c>
      <c r="E1183" s="8">
        <v>10.0</v>
      </c>
      <c r="F1183" s="4" t="str">
        <f t="shared" si="1"/>
        <v>500 &amp; Below</v>
      </c>
    </row>
    <row r="1184" ht="15.75" customHeight="1">
      <c r="A1184" s="4" t="s">
        <v>55</v>
      </c>
      <c r="B1184" s="7">
        <v>45785.0</v>
      </c>
      <c r="C1184" s="4" t="s">
        <v>335</v>
      </c>
      <c r="D1184" s="4" t="s">
        <v>32</v>
      </c>
      <c r="E1184" s="8">
        <v>22.0</v>
      </c>
      <c r="F1184" s="4" t="str">
        <f t="shared" si="1"/>
        <v>500 &amp; Below</v>
      </c>
    </row>
    <row r="1185" ht="15.75" customHeight="1">
      <c r="A1185" s="4" t="s">
        <v>55</v>
      </c>
      <c r="B1185" s="7">
        <v>45785.0</v>
      </c>
      <c r="C1185" s="4" t="s">
        <v>335</v>
      </c>
      <c r="D1185" s="4" t="s">
        <v>24</v>
      </c>
      <c r="E1185" s="8">
        <v>10.0</v>
      </c>
      <c r="F1185" s="4" t="str">
        <f t="shared" si="1"/>
        <v>500 &amp; Below</v>
      </c>
    </row>
    <row r="1186" ht="15.75" customHeight="1">
      <c r="A1186" s="4" t="s">
        <v>55</v>
      </c>
      <c r="B1186" s="7">
        <v>45785.0</v>
      </c>
      <c r="C1186" s="4" t="s">
        <v>335</v>
      </c>
      <c r="D1186" s="4" t="s">
        <v>24</v>
      </c>
      <c r="E1186" s="8">
        <v>80.0</v>
      </c>
      <c r="F1186" s="4" t="str">
        <f t="shared" si="1"/>
        <v>500 &amp; Below</v>
      </c>
    </row>
    <row r="1187" ht="15.75" customHeight="1">
      <c r="A1187" s="4" t="s">
        <v>55</v>
      </c>
      <c r="B1187" s="7">
        <v>45786.0</v>
      </c>
      <c r="C1187" s="4" t="s">
        <v>335</v>
      </c>
      <c r="D1187" s="4" t="s">
        <v>39</v>
      </c>
      <c r="E1187" s="8">
        <v>5.0</v>
      </c>
      <c r="F1187" s="4" t="str">
        <f t="shared" si="1"/>
        <v>500 &amp; Below</v>
      </c>
    </row>
    <row r="1188" ht="15.75" customHeight="1">
      <c r="A1188" s="4" t="s">
        <v>55</v>
      </c>
      <c r="B1188" s="7">
        <v>45787.0</v>
      </c>
      <c r="C1188" s="4" t="s">
        <v>335</v>
      </c>
      <c r="D1188" s="4" t="s">
        <v>2214</v>
      </c>
      <c r="E1188" s="8">
        <v>55.0</v>
      </c>
      <c r="F1188" s="4" t="str">
        <f t="shared" si="1"/>
        <v>500 &amp; Below</v>
      </c>
    </row>
    <row r="1189" ht="15.75" customHeight="1">
      <c r="A1189" s="4" t="s">
        <v>55</v>
      </c>
      <c r="B1189" s="7">
        <v>45787.0</v>
      </c>
      <c r="C1189" s="4" t="s">
        <v>335</v>
      </c>
      <c r="D1189" s="4" t="s">
        <v>18</v>
      </c>
      <c r="E1189" s="8">
        <v>69.0</v>
      </c>
      <c r="F1189" s="4" t="str">
        <f t="shared" si="1"/>
        <v>500 &amp; Below</v>
      </c>
    </row>
    <row r="1190" ht="15.75" customHeight="1">
      <c r="A1190" s="4" t="s">
        <v>55</v>
      </c>
      <c r="B1190" s="7">
        <v>45787.0</v>
      </c>
      <c r="C1190" s="4" t="s">
        <v>335</v>
      </c>
      <c r="D1190" s="4" t="s">
        <v>1698</v>
      </c>
      <c r="E1190" s="8">
        <v>184.0</v>
      </c>
      <c r="F1190" s="4" t="str">
        <f t="shared" si="1"/>
        <v>500 &amp; Below</v>
      </c>
    </row>
    <row r="1191" ht="15.75" customHeight="1">
      <c r="A1191" s="4" t="s">
        <v>55</v>
      </c>
      <c r="B1191" s="7">
        <v>45787.0</v>
      </c>
      <c r="C1191" s="4" t="s">
        <v>335</v>
      </c>
      <c r="D1191" s="4" t="s">
        <v>928</v>
      </c>
      <c r="E1191" s="8">
        <v>100.0</v>
      </c>
      <c r="F1191" s="4" t="str">
        <f t="shared" si="1"/>
        <v>500 &amp; Below</v>
      </c>
    </row>
    <row r="1192" ht="15.75" customHeight="1">
      <c r="A1192" s="4" t="s">
        <v>55</v>
      </c>
      <c r="B1192" s="7">
        <v>45787.0</v>
      </c>
      <c r="C1192" s="4" t="s">
        <v>335</v>
      </c>
      <c r="D1192" s="4" t="s">
        <v>1365</v>
      </c>
      <c r="E1192" s="8">
        <v>50.0</v>
      </c>
      <c r="F1192" s="4" t="str">
        <f t="shared" si="1"/>
        <v>500 &amp; Below</v>
      </c>
    </row>
    <row r="1193" ht="15.75" customHeight="1">
      <c r="A1193" s="4" t="s">
        <v>55</v>
      </c>
      <c r="B1193" s="7">
        <v>45787.0</v>
      </c>
      <c r="C1193" s="4" t="s">
        <v>335</v>
      </c>
      <c r="D1193" s="4" t="s">
        <v>2607</v>
      </c>
      <c r="E1193" s="8">
        <v>80.0</v>
      </c>
      <c r="F1193" s="4" t="str">
        <f t="shared" si="1"/>
        <v>500 &amp; Below</v>
      </c>
    </row>
    <row r="1194" ht="15.75" customHeight="1">
      <c r="A1194" s="4" t="s">
        <v>55</v>
      </c>
      <c r="B1194" s="7">
        <v>45788.0</v>
      </c>
      <c r="C1194" s="4" t="s">
        <v>335</v>
      </c>
      <c r="D1194" s="4" t="s">
        <v>3190</v>
      </c>
      <c r="E1194" s="8">
        <v>100.0</v>
      </c>
      <c r="F1194" s="4" t="str">
        <f t="shared" si="1"/>
        <v>500 &amp; Below</v>
      </c>
    </row>
    <row r="1195" ht="15.75" customHeight="1">
      <c r="A1195" s="4" t="s">
        <v>55</v>
      </c>
      <c r="B1195" s="7">
        <v>45788.0</v>
      </c>
      <c r="C1195" s="4" t="s">
        <v>335</v>
      </c>
      <c r="D1195" s="4" t="s">
        <v>124</v>
      </c>
      <c r="E1195" s="8">
        <v>299.0</v>
      </c>
      <c r="F1195" s="4" t="str">
        <f t="shared" si="1"/>
        <v>500 &amp; Below</v>
      </c>
    </row>
    <row r="1196" ht="15.75" customHeight="1">
      <c r="A1196" s="4" t="s">
        <v>55</v>
      </c>
      <c r="B1196" s="7">
        <v>45788.0</v>
      </c>
      <c r="C1196" s="4" t="s">
        <v>335</v>
      </c>
      <c r="D1196" s="4" t="s">
        <v>2214</v>
      </c>
      <c r="E1196" s="8">
        <v>125.0</v>
      </c>
      <c r="F1196" s="4" t="str">
        <f t="shared" si="1"/>
        <v>500 &amp; Below</v>
      </c>
    </row>
    <row r="1197" ht="15.75" customHeight="1">
      <c r="A1197" s="4" t="s">
        <v>55</v>
      </c>
      <c r="B1197" s="7">
        <v>45788.0</v>
      </c>
      <c r="C1197" s="4" t="s">
        <v>335</v>
      </c>
      <c r="D1197" s="4" t="s">
        <v>18</v>
      </c>
      <c r="E1197" s="8">
        <v>460.6</v>
      </c>
      <c r="F1197" s="4" t="str">
        <f t="shared" si="1"/>
        <v>500 &amp; Below</v>
      </c>
    </row>
    <row r="1198" ht="15.75" customHeight="1">
      <c r="A1198" s="4" t="s">
        <v>55</v>
      </c>
      <c r="B1198" s="7">
        <v>45790.0</v>
      </c>
      <c r="C1198" s="4" t="s">
        <v>335</v>
      </c>
      <c r="D1198" s="4" t="s">
        <v>826</v>
      </c>
      <c r="E1198" s="8">
        <v>522.0</v>
      </c>
      <c r="F1198" s="4" t="str">
        <f t="shared" si="1"/>
        <v>Above 500</v>
      </c>
    </row>
    <row r="1199" ht="15.75" customHeight="1">
      <c r="A1199" s="4" t="s">
        <v>55</v>
      </c>
      <c r="B1199" s="7">
        <v>45790.0</v>
      </c>
      <c r="C1199" s="4" t="s">
        <v>335</v>
      </c>
      <c r="D1199" s="4" t="s">
        <v>3216</v>
      </c>
      <c r="E1199" s="8">
        <v>10.0</v>
      </c>
      <c r="F1199" s="4" t="str">
        <f t="shared" si="1"/>
        <v>500 &amp; Below</v>
      </c>
    </row>
    <row r="1200" ht="15.75" customHeight="1">
      <c r="A1200" s="4" t="s">
        <v>55</v>
      </c>
      <c r="B1200" s="7">
        <v>45790.0</v>
      </c>
      <c r="C1200" s="4" t="s">
        <v>335</v>
      </c>
      <c r="D1200" s="4" t="s">
        <v>113</v>
      </c>
      <c r="E1200" s="8">
        <v>30.0</v>
      </c>
      <c r="F1200" s="4" t="str">
        <f t="shared" si="1"/>
        <v>500 &amp; Below</v>
      </c>
    </row>
    <row r="1201" ht="15.75" customHeight="1">
      <c r="A1201" s="4" t="s">
        <v>55</v>
      </c>
      <c r="B1201" s="7">
        <v>45790.0</v>
      </c>
      <c r="C1201" s="4" t="s">
        <v>335</v>
      </c>
      <c r="D1201" s="4" t="s">
        <v>36</v>
      </c>
      <c r="E1201" s="8">
        <v>2044.0</v>
      </c>
      <c r="F1201" s="4" t="str">
        <f t="shared" si="1"/>
        <v>Above 500</v>
      </c>
    </row>
    <row r="1202" ht="15.75" customHeight="1">
      <c r="A1202" s="4" t="s">
        <v>55</v>
      </c>
      <c r="B1202" s="7">
        <v>45790.0</v>
      </c>
      <c r="C1202" s="4" t="s">
        <v>335</v>
      </c>
      <c r="D1202" s="4" t="s">
        <v>36</v>
      </c>
      <c r="E1202" s="8">
        <v>2675.0</v>
      </c>
      <c r="F1202" s="4" t="str">
        <f t="shared" si="1"/>
        <v>Above 500</v>
      </c>
    </row>
    <row r="1203" ht="15.75" customHeight="1">
      <c r="A1203" s="4" t="s">
        <v>55</v>
      </c>
      <c r="B1203" s="7">
        <v>45791.0</v>
      </c>
      <c r="C1203" s="4" t="s">
        <v>335</v>
      </c>
      <c r="D1203" s="4" t="s">
        <v>36</v>
      </c>
      <c r="E1203" s="8">
        <v>2429.0</v>
      </c>
      <c r="F1203" s="4" t="str">
        <f t="shared" si="1"/>
        <v>Above 500</v>
      </c>
    </row>
    <row r="1204" ht="15.75" customHeight="1">
      <c r="A1204" s="4" t="s">
        <v>55</v>
      </c>
      <c r="B1204" s="7">
        <v>45791.0</v>
      </c>
      <c r="C1204" s="4" t="s">
        <v>335</v>
      </c>
      <c r="D1204" s="4" t="s">
        <v>3217</v>
      </c>
      <c r="E1204" s="8">
        <v>11999.0</v>
      </c>
      <c r="F1204" s="4" t="str">
        <f t="shared" si="1"/>
        <v>Above 500</v>
      </c>
    </row>
    <row r="1205" ht="15.75" customHeight="1">
      <c r="A1205" s="4" t="s">
        <v>55</v>
      </c>
      <c r="B1205" s="7">
        <v>45791.0</v>
      </c>
      <c r="C1205" s="4" t="s">
        <v>335</v>
      </c>
      <c r="D1205" s="4" t="s">
        <v>928</v>
      </c>
      <c r="E1205" s="8">
        <v>330.0</v>
      </c>
      <c r="F1205" s="4" t="str">
        <f t="shared" si="1"/>
        <v>500 &amp; Below</v>
      </c>
    </row>
    <row r="1206" ht="15.75" customHeight="1">
      <c r="A1206" s="4" t="s">
        <v>55</v>
      </c>
      <c r="B1206" s="7">
        <v>45791.0</v>
      </c>
      <c r="C1206" s="4" t="s">
        <v>335</v>
      </c>
      <c r="D1206" s="4" t="s">
        <v>24</v>
      </c>
      <c r="E1206" s="8">
        <v>20.0</v>
      </c>
      <c r="F1206" s="4" t="str">
        <f t="shared" si="1"/>
        <v>500 &amp; Below</v>
      </c>
    </row>
    <row r="1207" ht="15.75" customHeight="1">
      <c r="A1207" s="4" t="s">
        <v>55</v>
      </c>
      <c r="B1207" s="7">
        <v>45791.0</v>
      </c>
      <c r="C1207" s="4" t="s">
        <v>335</v>
      </c>
      <c r="D1207" s="4" t="s">
        <v>3161</v>
      </c>
      <c r="E1207" s="8">
        <v>22.0</v>
      </c>
      <c r="F1207" s="4" t="str">
        <f t="shared" si="1"/>
        <v>500 &amp; Below</v>
      </c>
    </row>
    <row r="1208" ht="15.75" customHeight="1">
      <c r="A1208" s="4" t="s">
        <v>55</v>
      </c>
      <c r="B1208" s="7">
        <v>45791.0</v>
      </c>
      <c r="C1208" s="4" t="s">
        <v>335</v>
      </c>
      <c r="D1208" s="4" t="s">
        <v>375</v>
      </c>
      <c r="E1208" s="8">
        <v>199.0</v>
      </c>
      <c r="F1208" s="4" t="str">
        <f t="shared" si="1"/>
        <v>500 &amp; Below</v>
      </c>
    </row>
    <row r="1209" ht="15.75" customHeight="1">
      <c r="A1209" s="4" t="s">
        <v>55</v>
      </c>
      <c r="B1209" s="7">
        <v>45792.0</v>
      </c>
      <c r="C1209" s="4" t="s">
        <v>335</v>
      </c>
      <c r="D1209" s="4" t="s">
        <v>3161</v>
      </c>
      <c r="E1209" s="8">
        <v>151.0</v>
      </c>
      <c r="F1209" s="4" t="str">
        <f t="shared" si="1"/>
        <v>500 &amp; Below</v>
      </c>
    </row>
    <row r="1210" ht="15.75" customHeight="1">
      <c r="A1210" s="4" t="s">
        <v>55</v>
      </c>
      <c r="B1210" s="7">
        <v>45792.0</v>
      </c>
      <c r="C1210" s="4" t="s">
        <v>335</v>
      </c>
      <c r="D1210" s="4" t="s">
        <v>3218</v>
      </c>
      <c r="E1210" s="8">
        <v>151.0</v>
      </c>
      <c r="F1210" s="4" t="str">
        <f t="shared" si="1"/>
        <v>500 &amp; Below</v>
      </c>
    </row>
    <row r="1211" ht="15.75" customHeight="1">
      <c r="A1211" s="4" t="s">
        <v>55</v>
      </c>
      <c r="B1211" s="7">
        <v>45792.0</v>
      </c>
      <c r="C1211" s="4" t="s">
        <v>335</v>
      </c>
      <c r="D1211" s="4" t="s">
        <v>117</v>
      </c>
      <c r="E1211" s="8">
        <v>45.0</v>
      </c>
      <c r="F1211" s="4" t="str">
        <f t="shared" si="1"/>
        <v>500 &amp; Below</v>
      </c>
    </row>
    <row r="1212" ht="15.75" customHeight="1">
      <c r="A1212" s="4" t="s">
        <v>55</v>
      </c>
      <c r="B1212" s="7">
        <v>45793.0</v>
      </c>
      <c r="C1212" s="4" t="s">
        <v>335</v>
      </c>
      <c r="D1212" s="4" t="s">
        <v>3219</v>
      </c>
      <c r="E1212" s="8">
        <v>500.0</v>
      </c>
      <c r="F1212" s="4" t="str">
        <f t="shared" si="1"/>
        <v>500 &amp; Below</v>
      </c>
    </row>
    <row r="1213" ht="15.75" customHeight="1">
      <c r="A1213" s="4" t="s">
        <v>55</v>
      </c>
      <c r="B1213" s="7">
        <v>45793.0</v>
      </c>
      <c r="C1213" s="4" t="s">
        <v>335</v>
      </c>
      <c r="D1213" s="4" t="s">
        <v>3220</v>
      </c>
      <c r="E1213" s="8">
        <v>20.0</v>
      </c>
      <c r="F1213" s="4" t="str">
        <f t="shared" si="1"/>
        <v>500 &amp; Below</v>
      </c>
    </row>
    <row r="1214" ht="15.75" customHeight="1">
      <c r="A1214" s="4" t="s">
        <v>55</v>
      </c>
      <c r="B1214" s="7">
        <v>45793.0</v>
      </c>
      <c r="C1214" s="4" t="s">
        <v>335</v>
      </c>
      <c r="D1214" s="4" t="s">
        <v>39</v>
      </c>
      <c r="E1214" s="8">
        <v>135.0</v>
      </c>
      <c r="F1214" s="4" t="str">
        <f t="shared" si="1"/>
        <v>500 &amp; Below</v>
      </c>
    </row>
    <row r="1215" ht="15.75" customHeight="1">
      <c r="A1215" s="4" t="s">
        <v>55</v>
      </c>
      <c r="B1215" s="7">
        <v>45794.0</v>
      </c>
      <c r="C1215" s="4" t="s">
        <v>335</v>
      </c>
      <c r="D1215" s="4" t="s">
        <v>97</v>
      </c>
      <c r="E1215" s="8">
        <v>330.0</v>
      </c>
      <c r="F1215" s="4" t="str">
        <f t="shared" si="1"/>
        <v>500 &amp; Below</v>
      </c>
    </row>
    <row r="1216" ht="15.75" customHeight="1">
      <c r="A1216" s="4" t="s">
        <v>55</v>
      </c>
      <c r="B1216" s="7">
        <v>45794.0</v>
      </c>
      <c r="C1216" s="4" t="s">
        <v>335</v>
      </c>
      <c r="D1216" s="4" t="s">
        <v>2214</v>
      </c>
      <c r="E1216" s="8">
        <v>125.0</v>
      </c>
      <c r="F1216" s="4" t="str">
        <f t="shared" si="1"/>
        <v>500 &amp; Below</v>
      </c>
    </row>
    <row r="1217" ht="15.75" customHeight="1">
      <c r="A1217" s="4" t="s">
        <v>55</v>
      </c>
      <c r="B1217" s="7">
        <v>45794.0</v>
      </c>
      <c r="C1217" s="4" t="s">
        <v>335</v>
      </c>
      <c r="D1217" s="4" t="s">
        <v>633</v>
      </c>
      <c r="E1217" s="8">
        <v>1230.0</v>
      </c>
      <c r="F1217" s="4" t="str">
        <f t="shared" si="1"/>
        <v>Above 500</v>
      </c>
    </row>
    <row r="1218" ht="15.75" customHeight="1">
      <c r="A1218" s="4" t="s">
        <v>55</v>
      </c>
      <c r="B1218" s="7">
        <v>45794.0</v>
      </c>
      <c r="C1218" s="4" t="s">
        <v>335</v>
      </c>
      <c r="D1218" s="4" t="s">
        <v>633</v>
      </c>
      <c r="E1218" s="8">
        <v>600.0</v>
      </c>
      <c r="F1218" s="4" t="str">
        <f t="shared" si="1"/>
        <v>Above 500</v>
      </c>
    </row>
    <row r="1219" ht="15.75" customHeight="1">
      <c r="A1219" s="4" t="s">
        <v>55</v>
      </c>
      <c r="B1219" s="7">
        <v>45794.0</v>
      </c>
      <c r="C1219" s="4" t="s">
        <v>335</v>
      </c>
      <c r="D1219" s="4" t="s">
        <v>317</v>
      </c>
      <c r="E1219" s="8">
        <v>271.0</v>
      </c>
      <c r="F1219" s="4" t="str">
        <f t="shared" si="1"/>
        <v>500 &amp; Below</v>
      </c>
    </row>
    <row r="1220" ht="15.75" customHeight="1">
      <c r="A1220" s="4" t="s">
        <v>55</v>
      </c>
      <c r="B1220" s="7">
        <v>45794.0</v>
      </c>
      <c r="C1220" s="4" t="s">
        <v>335</v>
      </c>
      <c r="D1220" s="4" t="s">
        <v>3221</v>
      </c>
      <c r="E1220" s="8">
        <v>105.0</v>
      </c>
      <c r="F1220" s="4" t="str">
        <f t="shared" si="1"/>
        <v>500 &amp; Below</v>
      </c>
    </row>
    <row r="1221" ht="15.75" customHeight="1">
      <c r="A1221" s="4" t="s">
        <v>55</v>
      </c>
      <c r="B1221" s="7">
        <v>45794.0</v>
      </c>
      <c r="C1221" s="4" t="s">
        <v>335</v>
      </c>
      <c r="D1221" s="4" t="s">
        <v>3221</v>
      </c>
      <c r="E1221" s="8">
        <v>40.0</v>
      </c>
      <c r="F1221" s="4" t="str">
        <f t="shared" si="1"/>
        <v>500 &amp; Below</v>
      </c>
    </row>
    <row r="1222" ht="15.75" customHeight="1">
      <c r="A1222" s="4" t="s">
        <v>55</v>
      </c>
      <c r="B1222" s="7">
        <v>45795.0</v>
      </c>
      <c r="C1222" s="4" t="s">
        <v>335</v>
      </c>
      <c r="D1222" s="4" t="s">
        <v>3218</v>
      </c>
      <c r="E1222" s="8">
        <v>64.0</v>
      </c>
      <c r="F1222" s="4" t="str">
        <f t="shared" si="1"/>
        <v>500 &amp; Below</v>
      </c>
    </row>
    <row r="1223" ht="15.75" customHeight="1">
      <c r="A1223" s="4" t="s">
        <v>55</v>
      </c>
      <c r="B1223" s="7">
        <v>45795.0</v>
      </c>
      <c r="C1223" s="4" t="s">
        <v>335</v>
      </c>
      <c r="D1223" s="4" t="s">
        <v>3218</v>
      </c>
      <c r="E1223" s="8">
        <v>237.0</v>
      </c>
      <c r="F1223" s="4" t="str">
        <f t="shared" si="1"/>
        <v>500 &amp; Below</v>
      </c>
    </row>
    <row r="1224" ht="15.75" customHeight="1">
      <c r="A1224" s="4" t="s">
        <v>55</v>
      </c>
      <c r="B1224" s="7">
        <v>45795.0</v>
      </c>
      <c r="C1224" s="4" t="s">
        <v>335</v>
      </c>
      <c r="D1224" s="4" t="s">
        <v>37</v>
      </c>
      <c r="E1224" s="8">
        <v>319.0</v>
      </c>
      <c r="F1224" s="4" t="str">
        <f t="shared" si="1"/>
        <v>500 &amp; Below</v>
      </c>
    </row>
    <row r="1225" ht="15.75" customHeight="1">
      <c r="A1225" s="4" t="s">
        <v>55</v>
      </c>
      <c r="B1225" s="7">
        <v>45795.0</v>
      </c>
      <c r="C1225" s="4" t="s">
        <v>335</v>
      </c>
      <c r="D1225" s="4" t="s">
        <v>24</v>
      </c>
      <c r="E1225" s="8">
        <v>20.0</v>
      </c>
      <c r="F1225" s="4" t="str">
        <f t="shared" si="1"/>
        <v>500 &amp; Below</v>
      </c>
    </row>
    <row r="1226" ht="15.75" customHeight="1">
      <c r="A1226" s="4" t="s">
        <v>55</v>
      </c>
      <c r="B1226" s="7">
        <v>45795.0</v>
      </c>
      <c r="C1226" s="4" t="s">
        <v>335</v>
      </c>
      <c r="D1226" s="4" t="s">
        <v>117</v>
      </c>
      <c r="E1226" s="8">
        <v>25.0</v>
      </c>
      <c r="F1226" s="4" t="str">
        <f t="shared" si="1"/>
        <v>500 &amp; Below</v>
      </c>
    </row>
    <row r="1227" ht="15.75" customHeight="1">
      <c r="A1227" s="4" t="s">
        <v>55</v>
      </c>
      <c r="B1227" s="7">
        <v>45795.0</v>
      </c>
      <c r="C1227" s="4" t="s">
        <v>335</v>
      </c>
      <c r="D1227" s="4" t="s">
        <v>28</v>
      </c>
      <c r="E1227" s="8">
        <v>1200.0</v>
      </c>
      <c r="F1227" s="4" t="str">
        <f t="shared" si="1"/>
        <v>Above 500</v>
      </c>
    </row>
    <row r="1228" ht="15.75" customHeight="1">
      <c r="A1228" s="4" t="s">
        <v>55</v>
      </c>
      <c r="B1228" s="7">
        <v>45796.0</v>
      </c>
      <c r="C1228" s="4" t="s">
        <v>335</v>
      </c>
      <c r="D1228" s="4" t="s">
        <v>1372</v>
      </c>
      <c r="E1228" s="8">
        <v>20.0</v>
      </c>
      <c r="F1228" s="4" t="str">
        <f t="shared" si="1"/>
        <v>500 &amp; Below</v>
      </c>
    </row>
    <row r="1229" ht="15.75" customHeight="1">
      <c r="A1229" s="4" t="s">
        <v>55</v>
      </c>
      <c r="B1229" s="7">
        <v>45797.0</v>
      </c>
      <c r="C1229" s="4" t="s">
        <v>335</v>
      </c>
      <c r="D1229" s="4" t="s">
        <v>121</v>
      </c>
      <c r="E1229" s="8">
        <v>6600.0</v>
      </c>
      <c r="F1229" s="4" t="str">
        <f t="shared" si="1"/>
        <v>Above 500</v>
      </c>
    </row>
    <row r="1230" ht="15.75" customHeight="1">
      <c r="A1230" s="4" t="s">
        <v>55</v>
      </c>
      <c r="B1230" s="7">
        <v>45798.0</v>
      </c>
      <c r="C1230" s="4" t="s">
        <v>335</v>
      </c>
      <c r="D1230" s="4" t="s">
        <v>18</v>
      </c>
      <c r="E1230" s="8">
        <v>96.0</v>
      </c>
      <c r="F1230" s="4" t="str">
        <f t="shared" si="1"/>
        <v>500 &amp; Below</v>
      </c>
    </row>
    <row r="1231" ht="15.75" customHeight="1">
      <c r="A1231" s="4" t="s">
        <v>55</v>
      </c>
      <c r="B1231" s="7">
        <v>45798.0</v>
      </c>
      <c r="C1231" s="4" t="s">
        <v>335</v>
      </c>
      <c r="D1231" s="4" t="s">
        <v>3222</v>
      </c>
      <c r="E1231" s="8">
        <v>125.0</v>
      </c>
      <c r="F1231" s="4" t="str">
        <f t="shared" si="1"/>
        <v>500 &amp; Below</v>
      </c>
    </row>
    <row r="1232" ht="15.75" customHeight="1">
      <c r="A1232" s="4" t="s">
        <v>55</v>
      </c>
      <c r="B1232" s="7">
        <v>45798.0</v>
      </c>
      <c r="C1232" s="4" t="s">
        <v>335</v>
      </c>
      <c r="D1232" s="4" t="s">
        <v>103</v>
      </c>
      <c r="E1232" s="8">
        <v>320.0</v>
      </c>
      <c r="F1232" s="4" t="str">
        <f t="shared" si="1"/>
        <v>500 &amp; Below</v>
      </c>
    </row>
    <row r="1233" ht="15.75" customHeight="1">
      <c r="A1233" s="4" t="s">
        <v>55</v>
      </c>
      <c r="B1233" s="7">
        <v>45798.0</v>
      </c>
      <c r="C1233" s="4" t="s">
        <v>335</v>
      </c>
      <c r="D1233" s="4" t="s">
        <v>1698</v>
      </c>
      <c r="E1233" s="8">
        <v>84.38</v>
      </c>
      <c r="F1233" s="4" t="str">
        <f t="shared" si="1"/>
        <v>500 &amp; Below</v>
      </c>
    </row>
    <row r="1234" ht="15.75" customHeight="1">
      <c r="A1234" s="4" t="s">
        <v>55</v>
      </c>
      <c r="B1234" s="7">
        <v>45798.0</v>
      </c>
      <c r="C1234" s="4" t="s">
        <v>335</v>
      </c>
      <c r="D1234" s="4" t="s">
        <v>119</v>
      </c>
      <c r="E1234" s="8">
        <v>85.0</v>
      </c>
      <c r="F1234" s="4" t="str">
        <f t="shared" si="1"/>
        <v>500 &amp; Below</v>
      </c>
    </row>
    <row r="1235" ht="15.75" customHeight="1">
      <c r="A1235" s="4" t="s">
        <v>55</v>
      </c>
      <c r="B1235" s="7">
        <v>45798.0</v>
      </c>
      <c r="C1235" s="4" t="s">
        <v>335</v>
      </c>
      <c r="D1235" s="4" t="s">
        <v>3223</v>
      </c>
      <c r="E1235" s="8">
        <v>260.0</v>
      </c>
      <c r="F1235" s="4" t="str">
        <f t="shared" si="1"/>
        <v>500 &amp; Below</v>
      </c>
    </row>
    <row r="1236" ht="15.75" customHeight="1">
      <c r="A1236" s="4" t="s">
        <v>55</v>
      </c>
      <c r="B1236" s="7">
        <v>45798.0</v>
      </c>
      <c r="C1236" s="4" t="s">
        <v>335</v>
      </c>
      <c r="D1236" s="4" t="s">
        <v>51</v>
      </c>
      <c r="E1236" s="8">
        <v>75.0</v>
      </c>
      <c r="F1236" s="4" t="str">
        <f t="shared" si="1"/>
        <v>500 &amp; Below</v>
      </c>
    </row>
    <row r="1237" ht="15.75" customHeight="1">
      <c r="A1237" s="4" t="s">
        <v>55</v>
      </c>
      <c r="B1237" s="7">
        <v>45798.0</v>
      </c>
      <c r="C1237" s="4" t="s">
        <v>335</v>
      </c>
      <c r="D1237" s="4" t="s">
        <v>45</v>
      </c>
      <c r="E1237" s="8">
        <v>1521.0</v>
      </c>
      <c r="F1237" s="4" t="str">
        <f t="shared" si="1"/>
        <v>Above 500</v>
      </c>
    </row>
    <row r="1238" ht="15.75" customHeight="1">
      <c r="A1238" s="4" t="s">
        <v>55</v>
      </c>
      <c r="B1238" s="7">
        <v>45798.0</v>
      </c>
      <c r="C1238" s="4" t="s">
        <v>335</v>
      </c>
      <c r="D1238" s="4" t="s">
        <v>1933</v>
      </c>
      <c r="E1238" s="8">
        <v>55.0</v>
      </c>
      <c r="F1238" s="4" t="str">
        <f t="shared" si="1"/>
        <v>500 &amp; Below</v>
      </c>
    </row>
    <row r="1239" ht="15.75" customHeight="1">
      <c r="A1239" s="4" t="s">
        <v>55</v>
      </c>
      <c r="B1239" s="7">
        <v>45799.0</v>
      </c>
      <c r="C1239" s="4" t="s">
        <v>335</v>
      </c>
      <c r="D1239" s="4" t="s">
        <v>3224</v>
      </c>
      <c r="E1239" s="8">
        <v>300.0</v>
      </c>
      <c r="F1239" s="4" t="str">
        <f t="shared" si="1"/>
        <v>500 &amp; Below</v>
      </c>
    </row>
    <row r="1240" ht="15.75" customHeight="1">
      <c r="A1240" s="4" t="s">
        <v>55</v>
      </c>
      <c r="B1240" s="7">
        <v>45799.0</v>
      </c>
      <c r="C1240" s="4" t="s">
        <v>335</v>
      </c>
      <c r="D1240" s="4" t="s">
        <v>3225</v>
      </c>
      <c r="E1240" s="8">
        <v>1500.0</v>
      </c>
      <c r="F1240" s="4" t="str">
        <f t="shared" si="1"/>
        <v>Above 500</v>
      </c>
    </row>
    <row r="1241" ht="15.75" customHeight="1">
      <c r="A1241" s="4" t="s">
        <v>55</v>
      </c>
      <c r="B1241" s="7">
        <v>45799.0</v>
      </c>
      <c r="C1241" s="4" t="s">
        <v>335</v>
      </c>
      <c r="D1241" s="4" t="s">
        <v>25</v>
      </c>
      <c r="E1241" s="8">
        <v>30.0</v>
      </c>
      <c r="F1241" s="4" t="str">
        <f t="shared" si="1"/>
        <v>500 &amp; Below</v>
      </c>
    </row>
    <row r="1242" ht="15.75" customHeight="1">
      <c r="A1242" s="4" t="s">
        <v>55</v>
      </c>
      <c r="B1242" s="7">
        <v>45799.0</v>
      </c>
      <c r="C1242" s="4" t="s">
        <v>335</v>
      </c>
      <c r="D1242" s="4" t="s">
        <v>25</v>
      </c>
      <c r="E1242" s="8">
        <v>15.0</v>
      </c>
      <c r="F1242" s="4" t="str">
        <f t="shared" si="1"/>
        <v>500 &amp; Below</v>
      </c>
    </row>
    <row r="1243" ht="15.75" customHeight="1">
      <c r="A1243" s="4" t="s">
        <v>55</v>
      </c>
      <c r="B1243" s="7">
        <v>45799.0</v>
      </c>
      <c r="C1243" s="4" t="s">
        <v>335</v>
      </c>
      <c r="D1243" s="4" t="s">
        <v>3226</v>
      </c>
      <c r="E1243" s="8">
        <v>480.0</v>
      </c>
      <c r="F1243" s="4" t="str">
        <f t="shared" si="1"/>
        <v>500 &amp; Below</v>
      </c>
    </row>
    <row r="1244" ht="15.75" customHeight="1">
      <c r="A1244" s="4" t="s">
        <v>55</v>
      </c>
      <c r="B1244" s="7">
        <v>45799.0</v>
      </c>
      <c r="C1244" s="4" t="s">
        <v>335</v>
      </c>
      <c r="D1244" s="4" t="s">
        <v>3227</v>
      </c>
      <c r="E1244" s="8">
        <v>2199.0</v>
      </c>
      <c r="F1244" s="4" t="str">
        <f t="shared" si="1"/>
        <v>Above 500</v>
      </c>
    </row>
    <row r="1245" ht="15.75" customHeight="1">
      <c r="A1245" s="4" t="s">
        <v>55</v>
      </c>
      <c r="B1245" s="7">
        <v>45800.0</v>
      </c>
      <c r="C1245" s="4" t="s">
        <v>335</v>
      </c>
      <c r="D1245" s="4" t="s">
        <v>3228</v>
      </c>
      <c r="E1245" s="8">
        <v>281.0</v>
      </c>
      <c r="F1245" s="4" t="str">
        <f t="shared" si="1"/>
        <v>500 &amp; Below</v>
      </c>
    </row>
    <row r="1246" ht="15.75" customHeight="1">
      <c r="A1246" s="4" t="s">
        <v>55</v>
      </c>
      <c r="B1246" s="7">
        <v>45800.0</v>
      </c>
      <c r="C1246" s="4" t="s">
        <v>335</v>
      </c>
      <c r="D1246" s="4" t="s">
        <v>3229</v>
      </c>
      <c r="E1246" s="8">
        <v>20.0</v>
      </c>
      <c r="F1246" s="4" t="str">
        <f t="shared" si="1"/>
        <v>500 &amp; Below</v>
      </c>
    </row>
    <row r="1247" ht="15.75" customHeight="1">
      <c r="A1247" s="4" t="s">
        <v>55</v>
      </c>
      <c r="B1247" s="7">
        <v>45800.0</v>
      </c>
      <c r="C1247" s="4" t="s">
        <v>335</v>
      </c>
      <c r="D1247" s="4" t="s">
        <v>25</v>
      </c>
      <c r="E1247" s="8">
        <v>30.0</v>
      </c>
      <c r="F1247" s="4" t="str">
        <f t="shared" si="1"/>
        <v>500 &amp; Below</v>
      </c>
    </row>
    <row r="1248" ht="15.75" customHeight="1">
      <c r="A1248" s="4" t="s">
        <v>55</v>
      </c>
      <c r="B1248" s="7">
        <v>45801.0</v>
      </c>
      <c r="C1248" s="4" t="s">
        <v>335</v>
      </c>
      <c r="D1248" s="4" t="s">
        <v>113</v>
      </c>
      <c r="E1248" s="8">
        <v>40.0</v>
      </c>
      <c r="F1248" s="4" t="str">
        <f t="shared" si="1"/>
        <v>500 &amp; Below</v>
      </c>
    </row>
    <row r="1249" ht="15.75" customHeight="1">
      <c r="A1249" s="4" t="s">
        <v>55</v>
      </c>
      <c r="B1249" s="7">
        <v>45801.0</v>
      </c>
      <c r="C1249" s="4" t="s">
        <v>335</v>
      </c>
      <c r="D1249" s="4" t="s">
        <v>1365</v>
      </c>
      <c r="E1249" s="8">
        <v>100.0</v>
      </c>
      <c r="F1249" s="4" t="str">
        <f t="shared" si="1"/>
        <v>500 &amp; Below</v>
      </c>
    </row>
    <row r="1250" ht="15.75" customHeight="1">
      <c r="A1250" s="4" t="s">
        <v>55</v>
      </c>
      <c r="B1250" s="7">
        <v>45801.0</v>
      </c>
      <c r="C1250" s="4" t="s">
        <v>335</v>
      </c>
      <c r="D1250" s="4" t="s">
        <v>3230</v>
      </c>
      <c r="E1250" s="8">
        <v>50.0</v>
      </c>
      <c r="F1250" s="4" t="str">
        <f t="shared" si="1"/>
        <v>500 &amp; Below</v>
      </c>
    </row>
    <row r="1251" ht="15.75" customHeight="1">
      <c r="A1251" s="4" t="s">
        <v>55</v>
      </c>
      <c r="B1251" s="7">
        <v>45802.0</v>
      </c>
      <c r="C1251" s="4" t="s">
        <v>335</v>
      </c>
      <c r="D1251" s="4" t="s">
        <v>1638</v>
      </c>
      <c r="E1251" s="8">
        <v>14.0</v>
      </c>
      <c r="F1251" s="4" t="str">
        <f t="shared" si="1"/>
        <v>500 &amp; Below</v>
      </c>
    </row>
    <row r="1252" ht="15.75" customHeight="1">
      <c r="A1252" s="4" t="s">
        <v>55</v>
      </c>
      <c r="B1252" s="7">
        <v>45802.0</v>
      </c>
      <c r="C1252" s="4" t="s">
        <v>335</v>
      </c>
      <c r="D1252" s="4" t="s">
        <v>56</v>
      </c>
      <c r="E1252" s="8">
        <v>236.0</v>
      </c>
      <c r="F1252" s="4" t="str">
        <f t="shared" si="1"/>
        <v>500 &amp; Below</v>
      </c>
    </row>
    <row r="1253" ht="15.75" customHeight="1">
      <c r="A1253" s="4" t="s">
        <v>55</v>
      </c>
      <c r="B1253" s="7">
        <v>45802.0</v>
      </c>
      <c r="C1253" s="4" t="s">
        <v>335</v>
      </c>
      <c r="D1253" s="4" t="s">
        <v>3218</v>
      </c>
      <c r="E1253" s="8">
        <v>144.0</v>
      </c>
      <c r="F1253" s="4" t="str">
        <f t="shared" si="1"/>
        <v>500 &amp; Below</v>
      </c>
    </row>
    <row r="1254" ht="15.75" customHeight="1">
      <c r="A1254" s="4" t="s">
        <v>55</v>
      </c>
      <c r="B1254" s="7">
        <v>45802.0</v>
      </c>
      <c r="C1254" s="4" t="s">
        <v>335</v>
      </c>
      <c r="D1254" s="4" t="s">
        <v>119</v>
      </c>
      <c r="E1254" s="8">
        <v>80.0</v>
      </c>
      <c r="F1254" s="4" t="str">
        <f t="shared" si="1"/>
        <v>500 &amp; Below</v>
      </c>
    </row>
    <row r="1255" ht="15.75" customHeight="1">
      <c r="A1255" s="4" t="s">
        <v>55</v>
      </c>
      <c r="B1255" s="7">
        <v>45802.0</v>
      </c>
      <c r="C1255" s="4" t="s">
        <v>335</v>
      </c>
      <c r="D1255" s="4" t="s">
        <v>3231</v>
      </c>
      <c r="E1255" s="8">
        <v>130.0</v>
      </c>
      <c r="F1255" s="4" t="str">
        <f t="shared" si="1"/>
        <v>500 &amp; Below</v>
      </c>
    </row>
    <row r="1256" ht="15.75" customHeight="1">
      <c r="A1256" s="4" t="s">
        <v>55</v>
      </c>
      <c r="B1256" s="7">
        <v>45802.0</v>
      </c>
      <c r="C1256" s="4" t="s">
        <v>335</v>
      </c>
      <c r="D1256" s="4" t="s">
        <v>115</v>
      </c>
      <c r="E1256" s="8">
        <v>110.0</v>
      </c>
      <c r="F1256" s="4" t="str">
        <f t="shared" si="1"/>
        <v>500 &amp; Below</v>
      </c>
    </row>
    <row r="1257" ht="15.75" customHeight="1">
      <c r="A1257" s="4" t="s">
        <v>55</v>
      </c>
      <c r="B1257" s="7">
        <v>45802.0</v>
      </c>
      <c r="C1257" s="4" t="s">
        <v>335</v>
      </c>
      <c r="D1257" s="4" t="s">
        <v>51</v>
      </c>
      <c r="E1257" s="8">
        <v>55.0</v>
      </c>
      <c r="F1257" s="4" t="str">
        <f t="shared" si="1"/>
        <v>500 &amp; Below</v>
      </c>
    </row>
    <row r="1258" ht="15.75" customHeight="1">
      <c r="A1258" s="4" t="s">
        <v>55</v>
      </c>
      <c r="B1258" s="7">
        <v>45803.0</v>
      </c>
      <c r="C1258" s="4" t="s">
        <v>335</v>
      </c>
      <c r="D1258" s="4" t="s">
        <v>41</v>
      </c>
      <c r="E1258" s="8">
        <v>145.0</v>
      </c>
      <c r="F1258" s="4" t="str">
        <f t="shared" si="1"/>
        <v>500 &amp; Below</v>
      </c>
    </row>
    <row r="1259" ht="15.75" customHeight="1">
      <c r="A1259" s="4" t="s">
        <v>55</v>
      </c>
      <c r="B1259" s="7">
        <v>45803.0</v>
      </c>
      <c r="C1259" s="4" t="s">
        <v>335</v>
      </c>
      <c r="D1259" s="4" t="s">
        <v>25</v>
      </c>
      <c r="E1259" s="8">
        <v>60.0</v>
      </c>
      <c r="F1259" s="4" t="str">
        <f t="shared" si="1"/>
        <v>500 &amp; Below</v>
      </c>
    </row>
    <row r="1260" ht="15.75" customHeight="1">
      <c r="A1260" s="4" t="s">
        <v>55</v>
      </c>
      <c r="B1260" s="7">
        <v>45803.0</v>
      </c>
      <c r="C1260" s="4" t="s">
        <v>335</v>
      </c>
      <c r="D1260" s="4" t="s">
        <v>26</v>
      </c>
      <c r="E1260" s="8">
        <v>810.0</v>
      </c>
      <c r="F1260" s="4" t="str">
        <f t="shared" si="1"/>
        <v>Above 500</v>
      </c>
    </row>
    <row r="1261" ht="15.75" customHeight="1">
      <c r="A1261" s="4" t="s">
        <v>55</v>
      </c>
      <c r="B1261" s="7">
        <v>45803.0</v>
      </c>
      <c r="C1261" s="4" t="s">
        <v>335</v>
      </c>
      <c r="D1261" s="4" t="s">
        <v>25</v>
      </c>
      <c r="E1261" s="8">
        <v>60.0</v>
      </c>
      <c r="F1261" s="4" t="str">
        <f t="shared" si="1"/>
        <v>500 &amp; Below</v>
      </c>
    </row>
    <row r="1262" ht="15.75" customHeight="1">
      <c r="A1262" s="4" t="s">
        <v>55</v>
      </c>
      <c r="B1262" s="7">
        <v>45803.0</v>
      </c>
      <c r="C1262" s="4" t="s">
        <v>335</v>
      </c>
      <c r="D1262" s="4" t="s">
        <v>3193</v>
      </c>
      <c r="E1262" s="8">
        <v>40.0</v>
      </c>
      <c r="F1262" s="4" t="str">
        <f t="shared" si="1"/>
        <v>500 &amp; Below</v>
      </c>
    </row>
    <row r="1263" ht="15.75" customHeight="1">
      <c r="A1263" s="4" t="s">
        <v>55</v>
      </c>
      <c r="B1263" s="7">
        <v>45804.0</v>
      </c>
      <c r="C1263" s="4" t="s">
        <v>335</v>
      </c>
      <c r="D1263" s="4" t="s">
        <v>928</v>
      </c>
      <c r="E1263" s="8">
        <v>260.0</v>
      </c>
      <c r="F1263" s="4" t="str">
        <f t="shared" si="1"/>
        <v>500 &amp; Below</v>
      </c>
    </row>
    <row r="1264" ht="15.75" customHeight="1">
      <c r="A1264" s="4" t="s">
        <v>55</v>
      </c>
      <c r="B1264" s="7">
        <v>45804.0</v>
      </c>
      <c r="C1264" s="4" t="s">
        <v>335</v>
      </c>
      <c r="D1264" s="4" t="s">
        <v>68</v>
      </c>
      <c r="E1264" s="8">
        <v>20.0</v>
      </c>
      <c r="F1264" s="4" t="str">
        <f t="shared" si="1"/>
        <v>500 &amp; Below</v>
      </c>
    </row>
    <row r="1265" ht="15.75" customHeight="1">
      <c r="A1265" s="4" t="s">
        <v>55</v>
      </c>
      <c r="B1265" s="7">
        <v>45804.0</v>
      </c>
      <c r="C1265" s="4" t="s">
        <v>335</v>
      </c>
      <c r="D1265" s="4" t="s">
        <v>102</v>
      </c>
      <c r="E1265" s="8">
        <v>10.0</v>
      </c>
      <c r="F1265" s="4" t="str">
        <f t="shared" si="1"/>
        <v>500 &amp; Below</v>
      </c>
    </row>
    <row r="1266" ht="15.75" customHeight="1">
      <c r="A1266" s="4" t="s">
        <v>55</v>
      </c>
      <c r="B1266" s="7">
        <v>45805.0</v>
      </c>
      <c r="C1266" s="4" t="s">
        <v>335</v>
      </c>
      <c r="D1266" s="4" t="s">
        <v>3190</v>
      </c>
      <c r="E1266" s="8">
        <v>40.0</v>
      </c>
      <c r="F1266" s="4" t="str">
        <f t="shared" si="1"/>
        <v>500 &amp; Below</v>
      </c>
    </row>
    <row r="1267" ht="15.75" customHeight="1">
      <c r="A1267" s="4" t="s">
        <v>55</v>
      </c>
      <c r="B1267" s="7">
        <v>45806.0</v>
      </c>
      <c r="C1267" s="4" t="s">
        <v>335</v>
      </c>
      <c r="D1267" s="4" t="s">
        <v>3218</v>
      </c>
      <c r="E1267" s="8">
        <v>54.0</v>
      </c>
      <c r="F1267" s="4" t="str">
        <f t="shared" si="1"/>
        <v>500 &amp; Below</v>
      </c>
    </row>
    <row r="1268" ht="15.75" customHeight="1">
      <c r="A1268" s="4" t="s">
        <v>55</v>
      </c>
      <c r="B1268" s="7">
        <v>45806.0</v>
      </c>
      <c r="C1268" s="4" t="s">
        <v>335</v>
      </c>
      <c r="D1268" s="4" t="s">
        <v>2370</v>
      </c>
      <c r="E1268" s="8">
        <v>636.0</v>
      </c>
      <c r="F1268" s="4" t="str">
        <f t="shared" si="1"/>
        <v>Above 500</v>
      </c>
    </row>
    <row r="1269" ht="15.75" customHeight="1">
      <c r="A1269" s="4" t="s">
        <v>55</v>
      </c>
      <c r="B1269" s="7">
        <v>45806.0</v>
      </c>
      <c r="C1269" s="4" t="s">
        <v>335</v>
      </c>
      <c r="D1269" s="4" t="s">
        <v>39</v>
      </c>
      <c r="E1269" s="8">
        <v>10.0</v>
      </c>
      <c r="F1269" s="4" t="str">
        <f t="shared" si="1"/>
        <v>500 &amp; Below</v>
      </c>
    </row>
    <row r="1270" ht="15.75" customHeight="1">
      <c r="A1270" s="4" t="s">
        <v>55</v>
      </c>
      <c r="B1270" s="7">
        <v>45807.0</v>
      </c>
      <c r="C1270" s="4" t="s">
        <v>335</v>
      </c>
      <c r="D1270" s="4" t="s">
        <v>3218</v>
      </c>
      <c r="E1270" s="8">
        <v>109.0</v>
      </c>
      <c r="F1270" s="4" t="str">
        <f t="shared" si="1"/>
        <v>500 &amp; Below</v>
      </c>
    </row>
    <row r="1271" ht="15.75" customHeight="1">
      <c r="A1271" s="4" t="s">
        <v>55</v>
      </c>
      <c r="B1271" s="7">
        <v>45807.0</v>
      </c>
      <c r="C1271" s="4" t="s">
        <v>335</v>
      </c>
      <c r="D1271" s="4" t="s">
        <v>3218</v>
      </c>
      <c r="E1271" s="8">
        <v>315.0</v>
      </c>
      <c r="F1271" s="4" t="str">
        <f t="shared" si="1"/>
        <v>500 &amp; Below</v>
      </c>
    </row>
    <row r="1272" ht="15.75" customHeight="1">
      <c r="A1272" s="4" t="s">
        <v>55</v>
      </c>
      <c r="B1272" s="7">
        <v>45807.0</v>
      </c>
      <c r="C1272" s="4" t="s">
        <v>335</v>
      </c>
      <c r="D1272" s="4" t="s">
        <v>1644</v>
      </c>
      <c r="E1272" s="8">
        <v>2400.0</v>
      </c>
      <c r="F1272" s="4" t="str">
        <f t="shared" si="1"/>
        <v>Above 500</v>
      </c>
    </row>
    <row r="1273" ht="15.75" customHeight="1">
      <c r="A1273" s="4" t="s">
        <v>55</v>
      </c>
      <c r="B1273" s="7">
        <v>45807.0</v>
      </c>
      <c r="C1273" s="4" t="s">
        <v>335</v>
      </c>
      <c r="D1273" s="4" t="s">
        <v>1644</v>
      </c>
      <c r="E1273" s="8">
        <v>200.0</v>
      </c>
      <c r="F1273" s="4" t="str">
        <f t="shared" si="1"/>
        <v>500 &amp; Below</v>
      </c>
    </row>
    <row r="1274" ht="15.75" customHeight="1">
      <c r="A1274" s="4" t="s">
        <v>55</v>
      </c>
      <c r="B1274" s="7">
        <v>45807.0</v>
      </c>
      <c r="C1274" s="4" t="s">
        <v>335</v>
      </c>
      <c r="D1274" s="4" t="s">
        <v>1638</v>
      </c>
      <c r="E1274" s="8">
        <v>636.0</v>
      </c>
      <c r="F1274" s="4" t="str">
        <f t="shared" si="1"/>
        <v>Above 500</v>
      </c>
    </row>
    <row r="1275" ht="15.75" customHeight="1">
      <c r="A1275" s="4" t="s">
        <v>55</v>
      </c>
      <c r="B1275" s="7">
        <v>45807.0</v>
      </c>
      <c r="C1275" s="4" t="s">
        <v>335</v>
      </c>
      <c r="D1275" s="4" t="s">
        <v>1644</v>
      </c>
      <c r="E1275" s="8">
        <v>900.0</v>
      </c>
      <c r="F1275" s="4" t="str">
        <f t="shared" si="1"/>
        <v>Above 500</v>
      </c>
    </row>
    <row r="1276" ht="15.75" customHeight="1">
      <c r="A1276" s="4" t="s">
        <v>55</v>
      </c>
      <c r="B1276" s="7">
        <v>45807.0</v>
      </c>
      <c r="C1276" s="4" t="s">
        <v>335</v>
      </c>
      <c r="D1276" s="4" t="s">
        <v>3232</v>
      </c>
      <c r="E1276" s="8">
        <v>65.0</v>
      </c>
      <c r="F1276" s="4" t="str">
        <f t="shared" si="1"/>
        <v>500 &amp; Below</v>
      </c>
    </row>
    <row r="1277" ht="15.75" customHeight="1">
      <c r="A1277" s="4" t="s">
        <v>55</v>
      </c>
      <c r="B1277" s="7">
        <v>45809.0</v>
      </c>
      <c r="C1277" s="4" t="s">
        <v>390</v>
      </c>
      <c r="D1277" s="4" t="s">
        <v>532</v>
      </c>
      <c r="E1277" s="8">
        <v>210.0</v>
      </c>
      <c r="F1277" s="4" t="str">
        <f t="shared" si="1"/>
        <v>500 &amp; Below</v>
      </c>
    </row>
    <row r="1278" ht="15.75" customHeight="1">
      <c r="A1278" s="4" t="s">
        <v>55</v>
      </c>
      <c r="B1278" s="7">
        <v>45809.0</v>
      </c>
      <c r="C1278" s="4" t="s">
        <v>390</v>
      </c>
      <c r="D1278" s="4" t="s">
        <v>2214</v>
      </c>
      <c r="E1278" s="8">
        <v>10.0</v>
      </c>
      <c r="F1278" s="4" t="str">
        <f t="shared" si="1"/>
        <v>500 &amp; Below</v>
      </c>
    </row>
    <row r="1279" ht="15.75" customHeight="1">
      <c r="A1279" s="4" t="s">
        <v>55</v>
      </c>
      <c r="B1279" s="7">
        <v>45809.0</v>
      </c>
      <c r="C1279" s="4" t="s">
        <v>390</v>
      </c>
      <c r="D1279" s="4" t="s">
        <v>24</v>
      </c>
      <c r="E1279" s="8">
        <v>40.0</v>
      </c>
      <c r="F1279" s="4" t="str">
        <f t="shared" si="1"/>
        <v>500 &amp; Below</v>
      </c>
    </row>
    <row r="1280" ht="15.75" customHeight="1">
      <c r="A1280" s="4" t="s">
        <v>55</v>
      </c>
      <c r="B1280" s="7">
        <v>45809.0</v>
      </c>
      <c r="C1280" s="4" t="s">
        <v>390</v>
      </c>
      <c r="D1280" s="4" t="s">
        <v>24</v>
      </c>
      <c r="E1280" s="8">
        <v>10.0</v>
      </c>
      <c r="F1280" s="4" t="str">
        <f t="shared" si="1"/>
        <v>500 &amp; Below</v>
      </c>
    </row>
    <row r="1281" ht="15.75" customHeight="1">
      <c r="A1281" s="4" t="s">
        <v>55</v>
      </c>
      <c r="B1281" s="7">
        <v>45809.0</v>
      </c>
      <c r="C1281" s="4" t="s">
        <v>390</v>
      </c>
      <c r="D1281" s="4" t="s">
        <v>79</v>
      </c>
      <c r="E1281" s="8">
        <v>40.0</v>
      </c>
      <c r="F1281" s="4" t="str">
        <f t="shared" si="1"/>
        <v>500 &amp; Below</v>
      </c>
    </row>
    <row r="1282" ht="15.75" customHeight="1">
      <c r="A1282" s="4" t="s">
        <v>55</v>
      </c>
      <c r="B1282" s="7">
        <v>45810.0</v>
      </c>
      <c r="C1282" s="4" t="s">
        <v>390</v>
      </c>
      <c r="D1282" s="4" t="s">
        <v>124</v>
      </c>
      <c r="E1282" s="8">
        <v>151.0</v>
      </c>
      <c r="F1282" s="4" t="str">
        <f t="shared" si="1"/>
        <v>500 &amp; Below</v>
      </c>
    </row>
    <row r="1283" ht="15.75" customHeight="1">
      <c r="A1283" s="4" t="s">
        <v>55</v>
      </c>
      <c r="B1283" s="7">
        <v>45810.0</v>
      </c>
      <c r="C1283" s="4" t="s">
        <v>390</v>
      </c>
      <c r="D1283" s="4" t="s">
        <v>3218</v>
      </c>
      <c r="E1283" s="8">
        <v>254.0</v>
      </c>
      <c r="F1283" s="4" t="str">
        <f t="shared" si="1"/>
        <v>500 &amp; Below</v>
      </c>
    </row>
    <row r="1284" ht="15.75" customHeight="1">
      <c r="A1284" s="4" t="s">
        <v>55</v>
      </c>
      <c r="B1284" s="7">
        <v>45811.0</v>
      </c>
      <c r="C1284" s="4" t="s">
        <v>390</v>
      </c>
      <c r="D1284" s="4" t="s">
        <v>3218</v>
      </c>
      <c r="E1284" s="8">
        <v>104.0</v>
      </c>
      <c r="F1284" s="4" t="str">
        <f t="shared" si="1"/>
        <v>500 &amp; Below</v>
      </c>
    </row>
    <row r="1285" ht="15.75" customHeight="1">
      <c r="A1285" s="4" t="s">
        <v>55</v>
      </c>
      <c r="B1285" s="7">
        <v>45811.0</v>
      </c>
      <c r="C1285" s="4" t="s">
        <v>390</v>
      </c>
      <c r="D1285" s="4" t="s">
        <v>121</v>
      </c>
      <c r="E1285" s="8">
        <v>6000.0</v>
      </c>
      <c r="F1285" s="4" t="str">
        <f t="shared" si="1"/>
        <v>Above 500</v>
      </c>
    </row>
    <row r="1286" ht="15.75" customHeight="1">
      <c r="A1286" s="4" t="s">
        <v>55</v>
      </c>
      <c r="B1286" s="7">
        <v>45812.0</v>
      </c>
      <c r="C1286" s="4" t="s">
        <v>390</v>
      </c>
      <c r="D1286" s="4" t="s">
        <v>117</v>
      </c>
      <c r="E1286" s="8">
        <v>45.0</v>
      </c>
      <c r="F1286" s="4" t="str">
        <f t="shared" si="1"/>
        <v>500 &amp; Below</v>
      </c>
    </row>
    <row r="1287" ht="15.75" customHeight="1">
      <c r="A1287" s="4" t="s">
        <v>55</v>
      </c>
      <c r="B1287" s="7">
        <v>45812.0</v>
      </c>
      <c r="C1287" s="4" t="s">
        <v>390</v>
      </c>
      <c r="D1287" s="4" t="s">
        <v>1767</v>
      </c>
      <c r="E1287" s="8">
        <v>90.0</v>
      </c>
      <c r="F1287" s="4" t="str">
        <f t="shared" si="1"/>
        <v>500 &amp; Below</v>
      </c>
    </row>
    <row r="1288" ht="15.75" customHeight="1">
      <c r="A1288" s="4" t="s">
        <v>55</v>
      </c>
      <c r="B1288" s="7">
        <v>45813.0</v>
      </c>
      <c r="C1288" s="4" t="s">
        <v>390</v>
      </c>
      <c r="D1288" s="4" t="s">
        <v>119</v>
      </c>
      <c r="E1288" s="8">
        <v>625.0</v>
      </c>
      <c r="F1288" s="4" t="str">
        <f t="shared" si="1"/>
        <v>Above 500</v>
      </c>
    </row>
    <row r="1289" ht="15.75" customHeight="1">
      <c r="A1289" s="4" t="s">
        <v>55</v>
      </c>
      <c r="B1289" s="7">
        <v>45814.0</v>
      </c>
      <c r="C1289" s="4" t="s">
        <v>390</v>
      </c>
      <c r="D1289" s="4" t="s">
        <v>3218</v>
      </c>
      <c r="E1289" s="8">
        <v>108.0</v>
      </c>
      <c r="F1289" s="4" t="str">
        <f t="shared" si="1"/>
        <v>500 &amp; Below</v>
      </c>
    </row>
    <row r="1290" ht="15.75" customHeight="1">
      <c r="A1290" s="4" t="s">
        <v>55</v>
      </c>
      <c r="B1290" s="7">
        <v>45814.0</v>
      </c>
      <c r="C1290" s="4" t="s">
        <v>390</v>
      </c>
      <c r="D1290" s="4" t="s">
        <v>3233</v>
      </c>
      <c r="E1290" s="8">
        <v>300.0</v>
      </c>
      <c r="F1290" s="4" t="str">
        <f t="shared" si="1"/>
        <v>500 &amp; Below</v>
      </c>
    </row>
    <row r="1291" ht="15.75" customHeight="1">
      <c r="A1291" s="4" t="s">
        <v>55</v>
      </c>
      <c r="B1291" s="7">
        <v>45814.0</v>
      </c>
      <c r="C1291" s="4" t="s">
        <v>390</v>
      </c>
      <c r="D1291" s="4" t="s">
        <v>3234</v>
      </c>
      <c r="E1291" s="8">
        <v>1280.0</v>
      </c>
      <c r="F1291" s="4" t="str">
        <f t="shared" si="1"/>
        <v>Above 500</v>
      </c>
    </row>
    <row r="1292" ht="15.75" customHeight="1">
      <c r="A1292" s="4" t="s">
        <v>55</v>
      </c>
      <c r="B1292" s="7">
        <v>45814.0</v>
      </c>
      <c r="C1292" s="4" t="s">
        <v>390</v>
      </c>
      <c r="D1292" s="4" t="s">
        <v>3235</v>
      </c>
      <c r="E1292" s="8">
        <v>2856.86</v>
      </c>
      <c r="F1292" s="4" t="str">
        <f t="shared" si="1"/>
        <v>Above 500</v>
      </c>
    </row>
    <row r="1293" ht="15.75" customHeight="1">
      <c r="A1293" s="4" t="s">
        <v>55</v>
      </c>
      <c r="B1293" s="7">
        <v>45815.0</v>
      </c>
      <c r="C1293" s="4" t="s">
        <v>390</v>
      </c>
      <c r="D1293" s="4" t="s">
        <v>3218</v>
      </c>
      <c r="E1293" s="8">
        <v>429.0</v>
      </c>
      <c r="F1293" s="4" t="str">
        <f t="shared" si="1"/>
        <v>500 &amp; Below</v>
      </c>
    </row>
    <row r="1294" ht="15.75" customHeight="1">
      <c r="A1294" s="4" t="s">
        <v>55</v>
      </c>
      <c r="B1294" s="7">
        <v>45816.0</v>
      </c>
      <c r="C1294" s="4" t="s">
        <v>390</v>
      </c>
      <c r="D1294" s="4" t="s">
        <v>3161</v>
      </c>
      <c r="E1294" s="8">
        <v>299.0</v>
      </c>
      <c r="F1294" s="4" t="str">
        <f t="shared" si="1"/>
        <v>500 &amp; Below</v>
      </c>
    </row>
    <row r="1295" ht="15.75" customHeight="1">
      <c r="A1295" s="4" t="s">
        <v>55</v>
      </c>
      <c r="B1295" s="7">
        <v>45816.0</v>
      </c>
      <c r="C1295" s="4" t="s">
        <v>390</v>
      </c>
      <c r="D1295" s="4" t="s">
        <v>103</v>
      </c>
      <c r="E1295" s="8">
        <v>100.0</v>
      </c>
      <c r="F1295" s="4" t="str">
        <f t="shared" si="1"/>
        <v>500 &amp; Below</v>
      </c>
    </row>
    <row r="1296" ht="15.75" customHeight="1">
      <c r="A1296" s="4" t="s">
        <v>55</v>
      </c>
      <c r="B1296" s="7">
        <v>45816.0</v>
      </c>
      <c r="C1296" s="4" t="s">
        <v>390</v>
      </c>
      <c r="D1296" s="4" t="s">
        <v>102</v>
      </c>
      <c r="E1296" s="8">
        <v>10.0</v>
      </c>
      <c r="F1296" s="4" t="str">
        <f t="shared" si="1"/>
        <v>500 &amp; Below</v>
      </c>
    </row>
    <row r="1297" ht="15.75" customHeight="1">
      <c r="A1297" s="4" t="s">
        <v>55</v>
      </c>
      <c r="B1297" s="7">
        <v>45816.0</v>
      </c>
      <c r="C1297" s="4" t="s">
        <v>390</v>
      </c>
      <c r="D1297" s="4" t="s">
        <v>25</v>
      </c>
      <c r="E1297" s="8">
        <v>20.0</v>
      </c>
      <c r="F1297" s="4" t="str">
        <f t="shared" si="1"/>
        <v>500 &amp; Below</v>
      </c>
    </row>
    <row r="1298" ht="15.75" customHeight="1">
      <c r="A1298" s="4" t="s">
        <v>55</v>
      </c>
      <c r="B1298" s="7">
        <v>45816.0</v>
      </c>
      <c r="C1298" s="4" t="s">
        <v>390</v>
      </c>
      <c r="D1298" s="4" t="s">
        <v>45</v>
      </c>
      <c r="E1298" s="8">
        <v>992.0</v>
      </c>
      <c r="F1298" s="4" t="str">
        <f t="shared" si="1"/>
        <v>Above 500</v>
      </c>
    </row>
    <row r="1299" ht="15.75" customHeight="1">
      <c r="A1299" s="4" t="s">
        <v>55</v>
      </c>
      <c r="B1299" s="7">
        <v>45817.0</v>
      </c>
      <c r="C1299" s="4" t="s">
        <v>390</v>
      </c>
      <c r="D1299" s="4" t="s">
        <v>48</v>
      </c>
      <c r="E1299" s="8">
        <v>362.0</v>
      </c>
      <c r="F1299" s="4" t="str">
        <f t="shared" si="1"/>
        <v>500 &amp; Below</v>
      </c>
    </row>
    <row r="1300" ht="15.75" customHeight="1">
      <c r="A1300" s="4" t="s">
        <v>55</v>
      </c>
      <c r="B1300" s="7">
        <v>45817.0</v>
      </c>
      <c r="C1300" s="4" t="s">
        <v>390</v>
      </c>
      <c r="D1300" s="4" t="s">
        <v>56</v>
      </c>
      <c r="E1300" s="8">
        <v>616.0</v>
      </c>
      <c r="F1300" s="4" t="str">
        <f t="shared" si="1"/>
        <v>Above 500</v>
      </c>
    </row>
    <row r="1301" ht="15.75" customHeight="1">
      <c r="A1301" s="4" t="s">
        <v>55</v>
      </c>
      <c r="B1301" s="7">
        <v>45817.0</v>
      </c>
      <c r="C1301" s="4" t="s">
        <v>390</v>
      </c>
      <c r="D1301" s="4" t="s">
        <v>1644</v>
      </c>
      <c r="E1301" s="8">
        <v>400.0</v>
      </c>
      <c r="F1301" s="4" t="str">
        <f t="shared" si="1"/>
        <v>500 &amp; Below</v>
      </c>
    </row>
    <row r="1302" ht="15.75" customHeight="1">
      <c r="A1302" s="4" t="s">
        <v>55</v>
      </c>
      <c r="B1302" s="7">
        <v>45817.0</v>
      </c>
      <c r="C1302" s="4" t="s">
        <v>390</v>
      </c>
      <c r="D1302" s="4" t="s">
        <v>1517</v>
      </c>
      <c r="E1302" s="8">
        <v>125.0</v>
      </c>
      <c r="F1302" s="4" t="str">
        <f t="shared" si="1"/>
        <v>500 &amp; Below</v>
      </c>
    </row>
    <row r="1303" ht="15.75" customHeight="1">
      <c r="A1303" s="4" t="s">
        <v>55</v>
      </c>
      <c r="B1303" s="7">
        <v>45817.0</v>
      </c>
      <c r="C1303" s="4" t="s">
        <v>390</v>
      </c>
      <c r="D1303" s="4" t="s">
        <v>18</v>
      </c>
      <c r="E1303" s="8">
        <v>26.0</v>
      </c>
      <c r="F1303" s="4" t="str">
        <f t="shared" si="1"/>
        <v>500 &amp; Below</v>
      </c>
    </row>
    <row r="1304" ht="15.75" customHeight="1">
      <c r="A1304" s="4" t="s">
        <v>55</v>
      </c>
      <c r="B1304" s="7">
        <v>45817.0</v>
      </c>
      <c r="C1304" s="4" t="s">
        <v>390</v>
      </c>
      <c r="D1304" s="4" t="s">
        <v>3236</v>
      </c>
      <c r="E1304" s="8">
        <v>324.0</v>
      </c>
      <c r="F1304" s="4" t="str">
        <f t="shared" si="1"/>
        <v>500 &amp; Below</v>
      </c>
    </row>
    <row r="1305" ht="15.75" customHeight="1">
      <c r="A1305" s="4" t="s">
        <v>55</v>
      </c>
      <c r="B1305" s="7">
        <v>45818.0</v>
      </c>
      <c r="C1305" s="4" t="s">
        <v>390</v>
      </c>
      <c r="D1305" s="4" t="s">
        <v>52</v>
      </c>
      <c r="E1305" s="8">
        <v>422.0</v>
      </c>
      <c r="F1305" s="4" t="str">
        <f t="shared" si="1"/>
        <v>500 &amp; Below</v>
      </c>
    </row>
    <row r="1306" ht="15.75" customHeight="1">
      <c r="A1306" s="4" t="s">
        <v>55</v>
      </c>
      <c r="B1306" s="7">
        <v>45818.0</v>
      </c>
      <c r="C1306" s="4" t="s">
        <v>390</v>
      </c>
      <c r="D1306" s="4" t="s">
        <v>3218</v>
      </c>
      <c r="E1306" s="8">
        <v>102.0</v>
      </c>
      <c r="F1306" s="4" t="str">
        <f t="shared" si="1"/>
        <v>500 &amp; Below</v>
      </c>
    </row>
    <row r="1307" ht="15.75" customHeight="1">
      <c r="A1307" s="4" t="s">
        <v>55</v>
      </c>
      <c r="B1307" s="7">
        <v>45818.0</v>
      </c>
      <c r="C1307" s="4" t="s">
        <v>390</v>
      </c>
      <c r="D1307" s="4" t="s">
        <v>1497</v>
      </c>
      <c r="E1307" s="8">
        <v>250.0</v>
      </c>
      <c r="F1307" s="4" t="str">
        <f t="shared" si="1"/>
        <v>500 &amp; Below</v>
      </c>
    </row>
    <row r="1308" ht="15.75" customHeight="1">
      <c r="A1308" s="4" t="s">
        <v>55</v>
      </c>
      <c r="B1308" s="7">
        <v>45819.0</v>
      </c>
      <c r="C1308" s="4" t="s">
        <v>390</v>
      </c>
      <c r="D1308" s="4" t="s">
        <v>69</v>
      </c>
      <c r="E1308" s="8">
        <v>199.0</v>
      </c>
      <c r="F1308" s="4" t="str">
        <f t="shared" si="1"/>
        <v>500 &amp; Below</v>
      </c>
    </row>
    <row r="1309" ht="15.75" customHeight="1">
      <c r="A1309" s="4" t="s">
        <v>55</v>
      </c>
      <c r="B1309" s="7">
        <v>45819.0</v>
      </c>
      <c r="C1309" s="4" t="s">
        <v>390</v>
      </c>
      <c r="D1309" s="4" t="s">
        <v>56</v>
      </c>
      <c r="E1309" s="8">
        <v>196.0</v>
      </c>
      <c r="F1309" s="4" t="str">
        <f t="shared" si="1"/>
        <v>500 &amp; Below</v>
      </c>
    </row>
    <row r="1310" ht="15.75" customHeight="1">
      <c r="A1310" s="4" t="s">
        <v>55</v>
      </c>
      <c r="B1310" s="7">
        <v>45819.0</v>
      </c>
      <c r="C1310" s="4" t="s">
        <v>390</v>
      </c>
      <c r="D1310" s="4" t="s">
        <v>119</v>
      </c>
      <c r="E1310" s="8">
        <v>20.0</v>
      </c>
      <c r="F1310" s="4" t="str">
        <f t="shared" si="1"/>
        <v>500 &amp; Below</v>
      </c>
    </row>
    <row r="1311" ht="15.75" customHeight="1">
      <c r="A1311" s="4" t="s">
        <v>55</v>
      </c>
      <c r="B1311" s="7">
        <v>45819.0</v>
      </c>
      <c r="C1311" s="4" t="s">
        <v>390</v>
      </c>
      <c r="D1311" s="4" t="s">
        <v>117</v>
      </c>
      <c r="E1311" s="8">
        <v>20.0</v>
      </c>
      <c r="F1311" s="4" t="str">
        <f t="shared" si="1"/>
        <v>500 &amp; Below</v>
      </c>
    </row>
    <row r="1312" ht="15.75" customHeight="1">
      <c r="A1312" s="4" t="s">
        <v>55</v>
      </c>
      <c r="B1312" s="7">
        <v>45819.0</v>
      </c>
      <c r="C1312" s="4" t="s">
        <v>390</v>
      </c>
      <c r="D1312" s="4" t="s">
        <v>3237</v>
      </c>
      <c r="E1312" s="8">
        <v>132.0</v>
      </c>
      <c r="F1312" s="4" t="str">
        <f t="shared" si="1"/>
        <v>500 &amp; Below</v>
      </c>
    </row>
    <row r="1313" ht="15.75" customHeight="1">
      <c r="A1313" s="4" t="s">
        <v>55</v>
      </c>
      <c r="B1313" s="7">
        <v>45821.0</v>
      </c>
      <c r="C1313" s="4" t="s">
        <v>390</v>
      </c>
      <c r="D1313" s="4" t="s">
        <v>36</v>
      </c>
      <c r="E1313" s="8">
        <v>2904.0</v>
      </c>
      <c r="F1313" s="4" t="str">
        <f t="shared" si="1"/>
        <v>Above 500</v>
      </c>
    </row>
    <row r="1314" ht="15.75" customHeight="1">
      <c r="A1314" s="4" t="s">
        <v>55</v>
      </c>
      <c r="B1314" s="7">
        <v>45821.0</v>
      </c>
      <c r="C1314" s="4" t="s">
        <v>390</v>
      </c>
      <c r="D1314" s="4" t="s">
        <v>36</v>
      </c>
      <c r="E1314" s="8">
        <v>1983.0</v>
      </c>
      <c r="F1314" s="4" t="str">
        <f t="shared" si="1"/>
        <v>Above 500</v>
      </c>
    </row>
    <row r="1315" ht="15.75" customHeight="1">
      <c r="A1315" s="4" t="s">
        <v>55</v>
      </c>
      <c r="B1315" s="7">
        <v>45821.0</v>
      </c>
      <c r="C1315" s="4" t="s">
        <v>390</v>
      </c>
      <c r="D1315" s="4" t="s">
        <v>36</v>
      </c>
      <c r="E1315" s="8">
        <v>3928.0</v>
      </c>
      <c r="F1315" s="4" t="str">
        <f t="shared" si="1"/>
        <v>Above 500</v>
      </c>
    </row>
    <row r="1316" ht="15.75" customHeight="1">
      <c r="A1316" s="4" t="s">
        <v>55</v>
      </c>
      <c r="B1316" s="7">
        <v>45821.0</v>
      </c>
      <c r="C1316" s="4" t="s">
        <v>390</v>
      </c>
      <c r="D1316" s="4" t="s">
        <v>108</v>
      </c>
      <c r="E1316" s="8">
        <v>50.0</v>
      </c>
      <c r="F1316" s="4" t="str">
        <f t="shared" si="1"/>
        <v>500 &amp; Below</v>
      </c>
    </row>
    <row r="1317" ht="15.75" customHeight="1">
      <c r="A1317" s="4" t="s">
        <v>55</v>
      </c>
      <c r="B1317" s="7">
        <v>45821.0</v>
      </c>
      <c r="C1317" s="4" t="s">
        <v>390</v>
      </c>
      <c r="D1317" s="4" t="s">
        <v>3238</v>
      </c>
      <c r="E1317" s="8">
        <v>5300.0</v>
      </c>
      <c r="F1317" s="4" t="str">
        <f t="shared" si="1"/>
        <v>Above 500</v>
      </c>
    </row>
    <row r="1318" ht="15.75" customHeight="1">
      <c r="A1318" s="4" t="s">
        <v>55</v>
      </c>
      <c r="B1318" s="7">
        <v>45821.0</v>
      </c>
      <c r="C1318" s="4" t="s">
        <v>390</v>
      </c>
      <c r="D1318" s="4" t="s">
        <v>3239</v>
      </c>
      <c r="E1318" s="8">
        <v>3266.0</v>
      </c>
      <c r="F1318" s="4" t="str">
        <f t="shared" si="1"/>
        <v>Above 500</v>
      </c>
    </row>
    <row r="1319" ht="15.75" customHeight="1">
      <c r="A1319" s="4" t="s">
        <v>55</v>
      </c>
      <c r="B1319" s="7">
        <v>45822.0</v>
      </c>
      <c r="C1319" s="4" t="s">
        <v>390</v>
      </c>
      <c r="D1319" s="4" t="s">
        <v>1507</v>
      </c>
      <c r="E1319" s="8">
        <v>120.0</v>
      </c>
      <c r="F1319" s="4" t="str">
        <f t="shared" si="1"/>
        <v>500 &amp; Below</v>
      </c>
    </row>
    <row r="1320" ht="15.75" customHeight="1">
      <c r="A1320" s="4" t="s">
        <v>55</v>
      </c>
      <c r="B1320" s="7">
        <v>45822.0</v>
      </c>
      <c r="C1320" s="4" t="s">
        <v>390</v>
      </c>
      <c r="D1320" s="4" t="s">
        <v>1392</v>
      </c>
      <c r="E1320" s="8">
        <v>120.0</v>
      </c>
      <c r="F1320" s="4" t="str">
        <f t="shared" si="1"/>
        <v>500 &amp; Below</v>
      </c>
    </row>
    <row r="1321" ht="15.75" customHeight="1">
      <c r="A1321" s="4" t="s">
        <v>55</v>
      </c>
      <c r="B1321" s="7">
        <v>45822.0</v>
      </c>
      <c r="C1321" s="4" t="s">
        <v>390</v>
      </c>
      <c r="D1321" s="4" t="s">
        <v>3218</v>
      </c>
      <c r="E1321" s="8">
        <v>157.0</v>
      </c>
      <c r="F1321" s="4" t="str">
        <f t="shared" si="1"/>
        <v>500 &amp; Below</v>
      </c>
    </row>
    <row r="1322" ht="15.75" customHeight="1">
      <c r="A1322" s="4" t="s">
        <v>55</v>
      </c>
      <c r="B1322" s="7">
        <v>45823.0</v>
      </c>
      <c r="C1322" s="4" t="s">
        <v>390</v>
      </c>
      <c r="D1322" s="4" t="s">
        <v>1372</v>
      </c>
      <c r="E1322" s="8">
        <v>40.0</v>
      </c>
      <c r="F1322" s="4" t="str">
        <f t="shared" si="1"/>
        <v>500 &amp; Below</v>
      </c>
    </row>
    <row r="1323" ht="15.75" customHeight="1">
      <c r="A1323" s="4" t="s">
        <v>55</v>
      </c>
      <c r="B1323" s="7">
        <v>45824.0</v>
      </c>
      <c r="C1323" s="4" t="s">
        <v>390</v>
      </c>
      <c r="D1323" s="4" t="s">
        <v>97</v>
      </c>
      <c r="E1323" s="8">
        <v>330.0</v>
      </c>
      <c r="F1323" s="4" t="str">
        <f t="shared" si="1"/>
        <v>500 &amp; Below</v>
      </c>
    </row>
    <row r="1324" ht="15.75" customHeight="1">
      <c r="A1324" s="4" t="s">
        <v>55</v>
      </c>
      <c r="B1324" s="7">
        <v>45824.0</v>
      </c>
      <c r="C1324" s="4" t="s">
        <v>390</v>
      </c>
      <c r="D1324" s="4" t="s">
        <v>3218</v>
      </c>
      <c r="E1324" s="8">
        <v>108.0</v>
      </c>
      <c r="F1324" s="4" t="str">
        <f t="shared" si="1"/>
        <v>500 &amp; Below</v>
      </c>
    </row>
    <row r="1325" ht="15.75" customHeight="1">
      <c r="A1325" s="4" t="s">
        <v>55</v>
      </c>
      <c r="B1325" s="7">
        <v>45824.0</v>
      </c>
      <c r="C1325" s="4" t="s">
        <v>390</v>
      </c>
      <c r="D1325" s="4" t="s">
        <v>355</v>
      </c>
      <c r="E1325" s="8">
        <v>50.0</v>
      </c>
      <c r="F1325" s="4" t="str">
        <f t="shared" si="1"/>
        <v>500 &amp; Below</v>
      </c>
    </row>
    <row r="1326" ht="15.75" customHeight="1">
      <c r="A1326" s="4" t="s">
        <v>55</v>
      </c>
      <c r="B1326" s="7">
        <v>45824.0</v>
      </c>
      <c r="C1326" s="4" t="s">
        <v>390</v>
      </c>
      <c r="D1326" s="4" t="s">
        <v>1754</v>
      </c>
      <c r="E1326" s="8">
        <v>50.0</v>
      </c>
      <c r="F1326" s="4" t="str">
        <f t="shared" si="1"/>
        <v>500 &amp; Below</v>
      </c>
    </row>
    <row r="1327" ht="15.75" customHeight="1">
      <c r="A1327" s="4" t="s">
        <v>55</v>
      </c>
      <c r="B1327" s="7">
        <v>45825.0</v>
      </c>
      <c r="C1327" s="4" t="s">
        <v>390</v>
      </c>
      <c r="D1327" s="4" t="s">
        <v>3218</v>
      </c>
      <c r="E1327" s="8">
        <v>171.0</v>
      </c>
      <c r="F1327" s="4" t="str">
        <f t="shared" si="1"/>
        <v>500 &amp; Below</v>
      </c>
    </row>
    <row r="1328" ht="15.75" customHeight="1">
      <c r="A1328" s="4" t="s">
        <v>55</v>
      </c>
      <c r="B1328" s="7">
        <v>45825.0</v>
      </c>
      <c r="C1328" s="4" t="s">
        <v>390</v>
      </c>
      <c r="D1328" s="4" t="s">
        <v>79</v>
      </c>
      <c r="E1328" s="8">
        <v>20.0</v>
      </c>
      <c r="F1328" s="4" t="str">
        <f t="shared" si="1"/>
        <v>500 &amp; Below</v>
      </c>
    </row>
    <row r="1329" ht="15.75" customHeight="1">
      <c r="A1329" s="4" t="s">
        <v>55</v>
      </c>
      <c r="B1329" s="7">
        <v>45826.0</v>
      </c>
      <c r="C1329" s="4" t="s">
        <v>390</v>
      </c>
      <c r="D1329" s="4" t="s">
        <v>317</v>
      </c>
      <c r="E1329" s="8">
        <v>300.0</v>
      </c>
      <c r="F1329" s="4" t="str">
        <f t="shared" si="1"/>
        <v>500 &amp; Below</v>
      </c>
    </row>
    <row r="1330" ht="15.75" customHeight="1">
      <c r="A1330" s="4" t="s">
        <v>55</v>
      </c>
      <c r="B1330" s="7">
        <v>45826.0</v>
      </c>
      <c r="C1330" s="4" t="s">
        <v>390</v>
      </c>
      <c r="D1330" s="4" t="s">
        <v>3240</v>
      </c>
      <c r="E1330" s="8">
        <v>20.0</v>
      </c>
      <c r="F1330" s="4" t="str">
        <f t="shared" si="1"/>
        <v>500 &amp; Below</v>
      </c>
    </row>
    <row r="1331" ht="15.75" customHeight="1">
      <c r="A1331" s="4" t="s">
        <v>55</v>
      </c>
      <c r="B1331" s="7">
        <v>45826.0</v>
      </c>
      <c r="C1331" s="4" t="s">
        <v>390</v>
      </c>
      <c r="D1331" s="4" t="s">
        <v>2519</v>
      </c>
      <c r="E1331" s="8">
        <v>50.0</v>
      </c>
      <c r="F1331" s="4" t="str">
        <f t="shared" si="1"/>
        <v>500 &amp; Below</v>
      </c>
    </row>
    <row r="1332" ht="15.75" customHeight="1">
      <c r="A1332" s="4" t="s">
        <v>55</v>
      </c>
      <c r="B1332" s="7">
        <v>45826.0</v>
      </c>
      <c r="C1332" s="4" t="s">
        <v>390</v>
      </c>
      <c r="D1332" s="4" t="s">
        <v>2519</v>
      </c>
      <c r="E1332" s="8">
        <v>150.0</v>
      </c>
      <c r="F1332" s="4" t="str">
        <f t="shared" si="1"/>
        <v>500 &amp; Below</v>
      </c>
    </row>
    <row r="1333" ht="15.75" customHeight="1">
      <c r="A1333" s="4" t="s">
        <v>55</v>
      </c>
      <c r="B1333" s="7">
        <v>45826.0</v>
      </c>
      <c r="C1333" s="4" t="s">
        <v>390</v>
      </c>
      <c r="D1333" s="4" t="s">
        <v>117</v>
      </c>
      <c r="E1333" s="8">
        <v>70.0</v>
      </c>
      <c r="F1333" s="4" t="str">
        <f t="shared" si="1"/>
        <v>500 &amp; Below</v>
      </c>
    </row>
    <row r="1334" ht="15.75" customHeight="1">
      <c r="A1334" s="4" t="s">
        <v>55</v>
      </c>
      <c r="B1334" s="7">
        <v>45827.0</v>
      </c>
      <c r="C1334" s="4" t="s">
        <v>390</v>
      </c>
      <c r="D1334" s="4" t="s">
        <v>121</v>
      </c>
      <c r="E1334" s="8">
        <v>3600.0</v>
      </c>
      <c r="F1334" s="4" t="str">
        <f t="shared" si="1"/>
        <v>Above 500</v>
      </c>
    </row>
    <row r="1335" ht="15.75" customHeight="1">
      <c r="A1335" s="4" t="s">
        <v>55</v>
      </c>
      <c r="B1335" s="7">
        <v>45827.0</v>
      </c>
      <c r="C1335" s="4" t="s">
        <v>390</v>
      </c>
      <c r="D1335" s="4" t="s">
        <v>119</v>
      </c>
      <c r="E1335" s="8">
        <v>375.0</v>
      </c>
      <c r="F1335" s="4" t="str">
        <f t="shared" si="1"/>
        <v>500 &amp; Below</v>
      </c>
    </row>
    <row r="1336" ht="15.75" customHeight="1">
      <c r="A1336" s="4" t="s">
        <v>55</v>
      </c>
      <c r="B1336" s="7">
        <v>45827.0</v>
      </c>
      <c r="C1336" s="4" t="s">
        <v>390</v>
      </c>
      <c r="D1336" s="4" t="s">
        <v>106</v>
      </c>
      <c r="E1336" s="8">
        <v>10.0</v>
      </c>
      <c r="F1336" s="4" t="str">
        <f t="shared" si="1"/>
        <v>500 &amp; Below</v>
      </c>
    </row>
    <row r="1337" ht="15.75" customHeight="1">
      <c r="A1337" s="4" t="s">
        <v>55</v>
      </c>
      <c r="B1337" s="7">
        <v>45828.0</v>
      </c>
      <c r="C1337" s="4" t="s">
        <v>390</v>
      </c>
      <c r="D1337" s="4" t="s">
        <v>3195</v>
      </c>
      <c r="E1337" s="8">
        <v>151.0</v>
      </c>
      <c r="F1337" s="4" t="str">
        <f t="shared" si="1"/>
        <v>500 &amp; Below</v>
      </c>
    </row>
    <row r="1338" ht="15.75" customHeight="1">
      <c r="A1338" s="4" t="s">
        <v>55</v>
      </c>
      <c r="B1338" s="7">
        <v>45828.0</v>
      </c>
      <c r="C1338" s="4" t="s">
        <v>390</v>
      </c>
      <c r="D1338" s="4" t="s">
        <v>1392</v>
      </c>
      <c r="E1338" s="8">
        <v>120.0</v>
      </c>
      <c r="F1338" s="4" t="str">
        <f t="shared" si="1"/>
        <v>500 &amp; Below</v>
      </c>
    </row>
    <row r="1339" ht="15.75" customHeight="1">
      <c r="A1339" s="4" t="s">
        <v>55</v>
      </c>
      <c r="B1339" s="7">
        <v>45828.0</v>
      </c>
      <c r="C1339" s="4" t="s">
        <v>390</v>
      </c>
      <c r="D1339" s="4" t="s">
        <v>3222</v>
      </c>
      <c r="E1339" s="8">
        <v>125.0</v>
      </c>
      <c r="F1339" s="4" t="str">
        <f t="shared" si="1"/>
        <v>500 &amp; Below</v>
      </c>
    </row>
    <row r="1340" ht="15.75" customHeight="1">
      <c r="A1340" s="4" t="s">
        <v>55</v>
      </c>
      <c r="B1340" s="7">
        <v>45828.0</v>
      </c>
      <c r="C1340" s="4" t="s">
        <v>390</v>
      </c>
      <c r="D1340" s="4" t="s">
        <v>1698</v>
      </c>
      <c r="E1340" s="8">
        <v>23.76</v>
      </c>
      <c r="F1340" s="4" t="str">
        <f t="shared" si="1"/>
        <v>500 &amp; Below</v>
      </c>
    </row>
    <row r="1341" ht="15.75" customHeight="1">
      <c r="A1341" s="4" t="s">
        <v>55</v>
      </c>
      <c r="B1341" s="7">
        <v>45828.0</v>
      </c>
      <c r="C1341" s="4" t="s">
        <v>390</v>
      </c>
      <c r="D1341" s="4" t="s">
        <v>39</v>
      </c>
      <c r="E1341" s="8">
        <v>10.0</v>
      </c>
      <c r="F1341" s="4" t="str">
        <f t="shared" si="1"/>
        <v>500 &amp; Below</v>
      </c>
    </row>
    <row r="1342" ht="15.75" customHeight="1">
      <c r="A1342" s="4" t="s">
        <v>55</v>
      </c>
      <c r="B1342" s="7">
        <v>45828.0</v>
      </c>
      <c r="C1342" s="4" t="s">
        <v>390</v>
      </c>
      <c r="D1342" s="4" t="s">
        <v>25</v>
      </c>
      <c r="E1342" s="8">
        <v>20.0</v>
      </c>
      <c r="F1342" s="4" t="str">
        <f t="shared" si="1"/>
        <v>500 &amp; Below</v>
      </c>
    </row>
    <row r="1343" ht="15.75" customHeight="1">
      <c r="A1343" s="4" t="s">
        <v>55</v>
      </c>
      <c r="B1343" s="7">
        <v>45828.0</v>
      </c>
      <c r="C1343" s="4" t="s">
        <v>390</v>
      </c>
      <c r="D1343" s="4" t="s">
        <v>45</v>
      </c>
      <c r="E1343" s="8">
        <v>1103.0</v>
      </c>
      <c r="F1343" s="4" t="str">
        <f t="shared" si="1"/>
        <v>Above 500</v>
      </c>
    </row>
    <row r="1344" ht="15.75" customHeight="1">
      <c r="A1344" s="4" t="s">
        <v>55</v>
      </c>
      <c r="B1344" s="7">
        <v>45829.0</v>
      </c>
      <c r="C1344" s="4" t="s">
        <v>390</v>
      </c>
      <c r="D1344" s="4" t="s">
        <v>39</v>
      </c>
      <c r="E1344" s="8">
        <v>30.0</v>
      </c>
      <c r="F1344" s="4" t="str">
        <f t="shared" si="1"/>
        <v>500 &amp; Below</v>
      </c>
    </row>
    <row r="1345" ht="15.75" customHeight="1">
      <c r="A1345" s="4" t="s">
        <v>55</v>
      </c>
      <c r="B1345" s="7">
        <v>45829.0</v>
      </c>
      <c r="C1345" s="4" t="s">
        <v>390</v>
      </c>
      <c r="D1345" s="4" t="s">
        <v>117</v>
      </c>
      <c r="E1345" s="8">
        <v>50.0</v>
      </c>
      <c r="F1345" s="4" t="str">
        <f t="shared" si="1"/>
        <v>500 &amp; Below</v>
      </c>
    </row>
    <row r="1346" ht="15.75" customHeight="1">
      <c r="A1346" s="4" t="s">
        <v>55</v>
      </c>
      <c r="B1346" s="7">
        <v>45830.0</v>
      </c>
      <c r="C1346" s="4" t="s">
        <v>390</v>
      </c>
      <c r="D1346" s="4" t="s">
        <v>106</v>
      </c>
      <c r="E1346" s="8">
        <v>10.0</v>
      </c>
      <c r="F1346" s="4" t="str">
        <f t="shared" si="1"/>
        <v>500 &amp; Below</v>
      </c>
    </row>
    <row r="1347" ht="15.75" customHeight="1">
      <c r="A1347" s="4" t="s">
        <v>55</v>
      </c>
      <c r="B1347" s="7">
        <v>45830.0</v>
      </c>
      <c r="C1347" s="4" t="s">
        <v>390</v>
      </c>
      <c r="D1347" s="4" t="s">
        <v>24</v>
      </c>
      <c r="E1347" s="8">
        <v>20.0</v>
      </c>
      <c r="F1347" s="4" t="str">
        <f t="shared" si="1"/>
        <v>500 &amp; Below</v>
      </c>
    </row>
    <row r="1348" ht="15.75" customHeight="1">
      <c r="A1348" s="4" t="s">
        <v>55</v>
      </c>
      <c r="B1348" s="7">
        <v>45830.0</v>
      </c>
      <c r="C1348" s="4" t="s">
        <v>390</v>
      </c>
      <c r="D1348" s="4" t="s">
        <v>117</v>
      </c>
      <c r="E1348" s="8">
        <v>50.0</v>
      </c>
      <c r="F1348" s="4" t="str">
        <f t="shared" si="1"/>
        <v>500 &amp; Below</v>
      </c>
    </row>
    <row r="1349" ht="15.75" customHeight="1">
      <c r="A1349" s="4" t="s">
        <v>55</v>
      </c>
      <c r="B1349" s="7">
        <v>45831.0</v>
      </c>
      <c r="C1349" s="4" t="s">
        <v>390</v>
      </c>
      <c r="D1349" s="4" t="s">
        <v>826</v>
      </c>
      <c r="E1349" s="8">
        <v>46.0</v>
      </c>
      <c r="F1349" s="4" t="str">
        <f t="shared" si="1"/>
        <v>500 &amp; Below</v>
      </c>
    </row>
    <row r="1350" ht="15.75" customHeight="1">
      <c r="A1350" s="4" t="s">
        <v>55</v>
      </c>
      <c r="B1350" s="7">
        <v>45831.0</v>
      </c>
      <c r="C1350" s="4" t="s">
        <v>390</v>
      </c>
      <c r="D1350" s="4" t="s">
        <v>103</v>
      </c>
      <c r="E1350" s="8">
        <v>145.0</v>
      </c>
      <c r="F1350" s="4" t="str">
        <f t="shared" si="1"/>
        <v>500 &amp; Below</v>
      </c>
    </row>
    <row r="1351" ht="15.75" customHeight="1">
      <c r="A1351" s="4" t="s">
        <v>55</v>
      </c>
      <c r="B1351" s="7">
        <v>45831.0</v>
      </c>
      <c r="C1351" s="4" t="s">
        <v>390</v>
      </c>
      <c r="D1351" s="4" t="s">
        <v>375</v>
      </c>
      <c r="E1351" s="8">
        <v>145.0</v>
      </c>
      <c r="F1351" s="4" t="str">
        <f t="shared" si="1"/>
        <v>500 &amp; Below</v>
      </c>
    </row>
    <row r="1352" ht="15.75" customHeight="1">
      <c r="A1352" s="4" t="s">
        <v>55</v>
      </c>
      <c r="B1352" s="7">
        <v>45832.0</v>
      </c>
      <c r="C1352" s="4" t="s">
        <v>390</v>
      </c>
      <c r="D1352" s="4" t="s">
        <v>2055</v>
      </c>
      <c r="E1352" s="8">
        <v>25.0</v>
      </c>
      <c r="F1352" s="4" t="str">
        <f t="shared" si="1"/>
        <v>500 &amp; Below</v>
      </c>
    </row>
    <row r="1353" ht="15.75" customHeight="1">
      <c r="A1353" s="4" t="s">
        <v>55</v>
      </c>
      <c r="B1353" s="7">
        <v>45832.0</v>
      </c>
      <c r="C1353" s="4" t="s">
        <v>390</v>
      </c>
      <c r="D1353" s="4" t="s">
        <v>79</v>
      </c>
      <c r="E1353" s="8">
        <v>20.0</v>
      </c>
      <c r="F1353" s="4" t="str">
        <f t="shared" si="1"/>
        <v>500 &amp; Below</v>
      </c>
    </row>
    <row r="1354" ht="15.75" customHeight="1">
      <c r="A1354" s="4" t="s">
        <v>55</v>
      </c>
      <c r="B1354" s="7">
        <v>45832.0</v>
      </c>
      <c r="C1354" s="4" t="s">
        <v>390</v>
      </c>
      <c r="D1354" s="4" t="s">
        <v>3236</v>
      </c>
      <c r="E1354" s="8">
        <v>250.0</v>
      </c>
      <c r="F1354" s="4" t="str">
        <f t="shared" si="1"/>
        <v>500 &amp; Below</v>
      </c>
    </row>
    <row r="1355" ht="15.75" customHeight="1">
      <c r="A1355" s="4" t="s">
        <v>55</v>
      </c>
      <c r="B1355" s="7">
        <v>45833.0</v>
      </c>
      <c r="C1355" s="4" t="s">
        <v>390</v>
      </c>
      <c r="D1355" s="4" t="s">
        <v>106</v>
      </c>
      <c r="E1355" s="8">
        <v>10.0</v>
      </c>
      <c r="F1355" s="4" t="str">
        <f t="shared" si="1"/>
        <v>500 &amp; Below</v>
      </c>
    </row>
    <row r="1356" ht="15.75" customHeight="1">
      <c r="A1356" s="4" t="s">
        <v>55</v>
      </c>
      <c r="B1356" s="7">
        <v>45834.0</v>
      </c>
      <c r="C1356" s="4" t="s">
        <v>390</v>
      </c>
      <c r="D1356" s="4" t="s">
        <v>3218</v>
      </c>
      <c r="E1356" s="8">
        <v>505.0</v>
      </c>
      <c r="F1356" s="4" t="str">
        <f t="shared" si="1"/>
        <v>Above 500</v>
      </c>
    </row>
    <row r="1357" ht="15.75" customHeight="1">
      <c r="A1357" s="4" t="s">
        <v>55</v>
      </c>
      <c r="B1357" s="7">
        <v>45834.0</v>
      </c>
      <c r="C1357" s="4" t="s">
        <v>390</v>
      </c>
      <c r="D1357" s="4" t="s">
        <v>39</v>
      </c>
      <c r="E1357" s="8">
        <v>10.0</v>
      </c>
      <c r="F1357" s="4" t="str">
        <f t="shared" si="1"/>
        <v>500 &amp; Below</v>
      </c>
    </row>
    <row r="1358" ht="15.75" customHeight="1">
      <c r="A1358" s="4" t="s">
        <v>55</v>
      </c>
      <c r="B1358" s="7">
        <v>45835.0</v>
      </c>
      <c r="C1358" s="4" t="s">
        <v>390</v>
      </c>
      <c r="D1358" s="4" t="s">
        <v>3218</v>
      </c>
      <c r="E1358" s="8">
        <v>163.0</v>
      </c>
      <c r="F1358" s="4" t="str">
        <f t="shared" si="1"/>
        <v>500 &amp; Below</v>
      </c>
    </row>
    <row r="1359" ht="15.75" customHeight="1">
      <c r="A1359" s="4" t="s">
        <v>55</v>
      </c>
      <c r="B1359" s="7">
        <v>45835.0</v>
      </c>
      <c r="C1359" s="4" t="s">
        <v>390</v>
      </c>
      <c r="D1359" s="4" t="s">
        <v>1517</v>
      </c>
      <c r="E1359" s="8">
        <v>125.0</v>
      </c>
      <c r="F1359" s="4" t="str">
        <f t="shared" si="1"/>
        <v>500 &amp; Below</v>
      </c>
    </row>
    <row r="1360" ht="15.75" customHeight="1">
      <c r="A1360" s="4" t="s">
        <v>55</v>
      </c>
      <c r="B1360" s="7">
        <v>45835.0</v>
      </c>
      <c r="C1360" s="4" t="s">
        <v>390</v>
      </c>
      <c r="D1360" s="4" t="s">
        <v>1392</v>
      </c>
      <c r="E1360" s="8">
        <v>508.0</v>
      </c>
      <c r="F1360" s="4" t="str">
        <f t="shared" si="1"/>
        <v>Above 500</v>
      </c>
    </row>
    <row r="1361" ht="15.75" customHeight="1">
      <c r="A1361" s="4" t="s">
        <v>55</v>
      </c>
      <c r="B1361" s="7">
        <v>45835.0</v>
      </c>
      <c r="C1361" s="4" t="s">
        <v>390</v>
      </c>
      <c r="D1361" s="4" t="s">
        <v>989</v>
      </c>
      <c r="E1361" s="8">
        <v>680.0</v>
      </c>
      <c r="F1361" s="4" t="str">
        <f t="shared" si="1"/>
        <v>Above 500</v>
      </c>
    </row>
    <row r="1362" ht="15.75" customHeight="1">
      <c r="A1362" s="4" t="s">
        <v>55</v>
      </c>
      <c r="B1362" s="7">
        <v>45835.0</v>
      </c>
      <c r="C1362" s="4" t="s">
        <v>390</v>
      </c>
      <c r="D1362" s="4" t="s">
        <v>24</v>
      </c>
      <c r="E1362" s="8">
        <v>20.0</v>
      </c>
      <c r="F1362" s="4" t="str">
        <f t="shared" si="1"/>
        <v>500 &amp; Below</v>
      </c>
    </row>
    <row r="1363" ht="15.75" customHeight="1">
      <c r="A1363" s="4" t="s">
        <v>55</v>
      </c>
      <c r="B1363" s="7">
        <v>45836.0</v>
      </c>
      <c r="C1363" s="4" t="s">
        <v>390</v>
      </c>
      <c r="D1363" s="4" t="s">
        <v>1453</v>
      </c>
      <c r="E1363" s="8">
        <v>110.0</v>
      </c>
      <c r="F1363" s="4" t="str">
        <f t="shared" si="1"/>
        <v>500 &amp; Below</v>
      </c>
    </row>
    <row r="1364" ht="15.75" customHeight="1">
      <c r="A1364" s="4" t="s">
        <v>55</v>
      </c>
      <c r="B1364" s="7">
        <v>45836.0</v>
      </c>
      <c r="C1364" s="4" t="s">
        <v>390</v>
      </c>
      <c r="D1364" s="4" t="s">
        <v>3161</v>
      </c>
      <c r="E1364" s="8">
        <v>22.0</v>
      </c>
      <c r="F1364" s="4" t="str">
        <f t="shared" si="1"/>
        <v>500 &amp; Below</v>
      </c>
    </row>
    <row r="1365" ht="15.75" customHeight="1">
      <c r="A1365" s="4" t="s">
        <v>55</v>
      </c>
      <c r="B1365" s="7">
        <v>45838.0</v>
      </c>
      <c r="C1365" s="4" t="s">
        <v>390</v>
      </c>
      <c r="D1365" s="4" t="s">
        <v>1698</v>
      </c>
      <c r="E1365" s="8">
        <v>71.6</v>
      </c>
      <c r="F1365" s="4" t="str">
        <f t="shared" si="1"/>
        <v>500 &amp; Below</v>
      </c>
    </row>
    <row r="1366" ht="15.75" customHeight="1">
      <c r="A1366" s="4" t="s">
        <v>55</v>
      </c>
      <c r="B1366" s="7">
        <v>45838.0</v>
      </c>
      <c r="C1366" s="4" t="s">
        <v>390</v>
      </c>
      <c r="D1366" s="4" t="s">
        <v>25</v>
      </c>
      <c r="E1366" s="8">
        <v>30.0</v>
      </c>
      <c r="F1366" s="4" t="str">
        <f t="shared" si="1"/>
        <v>500 &amp; Below</v>
      </c>
    </row>
    <row r="1367" ht="15.75" customHeight="1">
      <c r="A1367" s="4" t="s">
        <v>55</v>
      </c>
      <c r="B1367" s="7">
        <v>45838.0</v>
      </c>
      <c r="C1367" s="4" t="s">
        <v>390</v>
      </c>
      <c r="D1367" s="4" t="s">
        <v>26</v>
      </c>
      <c r="E1367" s="8">
        <v>810.0</v>
      </c>
      <c r="F1367" s="4" t="str">
        <f t="shared" si="1"/>
        <v>Above 500</v>
      </c>
    </row>
    <row r="1368" ht="15.75" customHeight="1">
      <c r="A1368" s="4" t="s">
        <v>55</v>
      </c>
      <c r="B1368" s="7">
        <v>45839.0</v>
      </c>
      <c r="C1368" s="4" t="s">
        <v>425</v>
      </c>
      <c r="D1368" s="4" t="s">
        <v>121</v>
      </c>
      <c r="E1368" s="8">
        <v>3500.0</v>
      </c>
      <c r="F1368" s="4" t="str">
        <f t="shared" si="1"/>
        <v>Above 500</v>
      </c>
    </row>
    <row r="1369" ht="15.75" customHeight="1">
      <c r="A1369" s="4" t="s">
        <v>55</v>
      </c>
      <c r="B1369" s="7">
        <v>45839.0</v>
      </c>
      <c r="C1369" s="4" t="s">
        <v>425</v>
      </c>
      <c r="D1369" s="4" t="s">
        <v>532</v>
      </c>
      <c r="E1369" s="8">
        <v>210.0</v>
      </c>
      <c r="F1369" s="4" t="str">
        <f t="shared" si="1"/>
        <v>500 &amp; Below</v>
      </c>
    </row>
    <row r="1370" ht="15.75" customHeight="1">
      <c r="A1370" s="4" t="s">
        <v>55</v>
      </c>
      <c r="B1370" s="7">
        <v>45839.0</v>
      </c>
      <c r="C1370" s="4" t="s">
        <v>425</v>
      </c>
      <c r="D1370" s="4" t="s">
        <v>39</v>
      </c>
      <c r="E1370" s="8">
        <v>10.0</v>
      </c>
      <c r="F1370" s="4" t="str">
        <f t="shared" si="1"/>
        <v>500 &amp; Below</v>
      </c>
    </row>
    <row r="1371" ht="15.75" customHeight="1">
      <c r="A1371" s="4" t="s">
        <v>55</v>
      </c>
      <c r="B1371" s="7">
        <v>45840.0</v>
      </c>
      <c r="C1371" s="4" t="s">
        <v>425</v>
      </c>
      <c r="D1371" s="4" t="s">
        <v>106</v>
      </c>
      <c r="E1371" s="8">
        <v>10.0</v>
      </c>
      <c r="F1371" s="4" t="str">
        <f t="shared" si="1"/>
        <v>500 &amp; Below</v>
      </c>
    </row>
    <row r="1372" ht="15.75" customHeight="1">
      <c r="A1372" s="4" t="s">
        <v>55</v>
      </c>
      <c r="B1372" s="7">
        <v>45840.0</v>
      </c>
      <c r="C1372" s="4" t="s">
        <v>425</v>
      </c>
      <c r="D1372" s="4" t="s">
        <v>24</v>
      </c>
      <c r="E1372" s="8">
        <v>20.0</v>
      </c>
      <c r="F1372" s="4" t="str">
        <f t="shared" si="1"/>
        <v>500 &amp; Below</v>
      </c>
    </row>
    <row r="1373" ht="15.75" customHeight="1">
      <c r="A1373" s="4" t="s">
        <v>55</v>
      </c>
      <c r="B1373" s="7">
        <v>45841.0</v>
      </c>
      <c r="C1373" s="4" t="s">
        <v>425</v>
      </c>
      <c r="D1373" s="4" t="s">
        <v>124</v>
      </c>
      <c r="E1373" s="8">
        <v>77.0</v>
      </c>
      <c r="F1373" s="4" t="str">
        <f t="shared" si="1"/>
        <v>500 &amp; Below</v>
      </c>
    </row>
    <row r="1374" ht="15.75" customHeight="1">
      <c r="A1374" s="4" t="s">
        <v>55</v>
      </c>
      <c r="B1374" s="7">
        <v>45841.0</v>
      </c>
      <c r="C1374" s="4" t="s">
        <v>425</v>
      </c>
      <c r="D1374" s="4" t="s">
        <v>3241</v>
      </c>
      <c r="E1374" s="8">
        <v>98.98</v>
      </c>
      <c r="F1374" s="4" t="str">
        <f t="shared" si="1"/>
        <v>500 &amp; Below</v>
      </c>
    </row>
    <row r="1375" ht="15.75" customHeight="1">
      <c r="A1375" s="4" t="s">
        <v>55</v>
      </c>
      <c r="B1375" s="7">
        <v>45842.0</v>
      </c>
      <c r="C1375" s="4" t="s">
        <v>425</v>
      </c>
      <c r="D1375" s="4" t="s">
        <v>3242</v>
      </c>
      <c r="E1375" s="8">
        <v>1200.0</v>
      </c>
      <c r="F1375" s="4" t="str">
        <f t="shared" si="1"/>
        <v>Above 500</v>
      </c>
    </row>
    <row r="1376" ht="15.75" customHeight="1">
      <c r="A1376" s="4" t="s">
        <v>55</v>
      </c>
      <c r="B1376" s="7">
        <v>45843.0</v>
      </c>
      <c r="C1376" s="4" t="s">
        <v>425</v>
      </c>
      <c r="D1376" s="4" t="s">
        <v>3218</v>
      </c>
      <c r="E1376" s="8">
        <v>163.0</v>
      </c>
      <c r="F1376" s="4" t="str">
        <f t="shared" si="1"/>
        <v>500 &amp; Below</v>
      </c>
    </row>
    <row r="1377" ht="15.75" customHeight="1">
      <c r="A1377" s="4" t="s">
        <v>55</v>
      </c>
      <c r="B1377" s="7">
        <v>45843.0</v>
      </c>
      <c r="C1377" s="4" t="s">
        <v>425</v>
      </c>
      <c r="D1377" s="4" t="s">
        <v>121</v>
      </c>
      <c r="E1377" s="8">
        <v>7500.0</v>
      </c>
      <c r="F1377" s="4" t="str">
        <f t="shared" si="1"/>
        <v>Above 500</v>
      </c>
    </row>
    <row r="1378" ht="15.75" customHeight="1">
      <c r="A1378" s="4" t="s">
        <v>55</v>
      </c>
      <c r="B1378" s="7">
        <v>45843.0</v>
      </c>
      <c r="C1378" s="4" t="s">
        <v>425</v>
      </c>
      <c r="D1378" s="4" t="s">
        <v>39</v>
      </c>
      <c r="E1378" s="8">
        <v>30.0</v>
      </c>
      <c r="F1378" s="4" t="str">
        <f t="shared" si="1"/>
        <v>500 &amp; Below</v>
      </c>
    </row>
    <row r="1379" ht="15.75" customHeight="1">
      <c r="A1379" s="4" t="s">
        <v>55</v>
      </c>
      <c r="B1379" s="7">
        <v>45844.0</v>
      </c>
      <c r="C1379" s="4" t="s">
        <v>425</v>
      </c>
      <c r="D1379" s="4" t="s">
        <v>3161</v>
      </c>
      <c r="E1379" s="8">
        <v>299.0</v>
      </c>
      <c r="F1379" s="4" t="str">
        <f t="shared" si="1"/>
        <v>500 &amp; Below</v>
      </c>
    </row>
    <row r="1380" ht="15.75" customHeight="1">
      <c r="A1380" s="4" t="s">
        <v>55</v>
      </c>
      <c r="B1380" s="7">
        <v>45844.0</v>
      </c>
      <c r="C1380" s="4" t="s">
        <v>425</v>
      </c>
      <c r="D1380" s="4" t="s">
        <v>39</v>
      </c>
      <c r="E1380" s="8">
        <v>5.0</v>
      </c>
      <c r="F1380" s="4" t="str">
        <f t="shared" si="1"/>
        <v>500 &amp; Below</v>
      </c>
    </row>
    <row r="1381" ht="15.75" customHeight="1">
      <c r="A1381" s="4" t="s">
        <v>55</v>
      </c>
      <c r="B1381" s="7">
        <v>45844.0</v>
      </c>
      <c r="C1381" s="4" t="s">
        <v>425</v>
      </c>
      <c r="D1381" s="4" t="s">
        <v>3243</v>
      </c>
      <c r="E1381" s="8">
        <v>10.0</v>
      </c>
      <c r="F1381" s="4" t="str">
        <f t="shared" si="1"/>
        <v>500 &amp; Below</v>
      </c>
    </row>
    <row r="1382" ht="15.75" customHeight="1">
      <c r="A1382" s="4" t="s">
        <v>55</v>
      </c>
      <c r="B1382" s="7">
        <v>45845.0</v>
      </c>
      <c r="C1382" s="4" t="s">
        <v>425</v>
      </c>
      <c r="D1382" s="4" t="s">
        <v>48</v>
      </c>
      <c r="E1382" s="8">
        <v>272.0</v>
      </c>
      <c r="F1382" s="4" t="str">
        <f t="shared" si="1"/>
        <v>500 &amp; Below</v>
      </c>
    </row>
    <row r="1383" ht="15.75" customHeight="1">
      <c r="A1383" s="4" t="s">
        <v>55</v>
      </c>
      <c r="B1383" s="7">
        <v>45845.0</v>
      </c>
      <c r="C1383" s="4" t="s">
        <v>425</v>
      </c>
      <c r="D1383" s="4" t="s">
        <v>119</v>
      </c>
      <c r="E1383" s="8">
        <v>135.0</v>
      </c>
      <c r="F1383" s="4" t="str">
        <f t="shared" si="1"/>
        <v>500 &amp; Below</v>
      </c>
    </row>
    <row r="1384" ht="15.75" customHeight="1">
      <c r="A1384" s="4" t="s">
        <v>55</v>
      </c>
      <c r="B1384" s="7">
        <v>45845.0</v>
      </c>
      <c r="C1384" s="4" t="s">
        <v>425</v>
      </c>
      <c r="D1384" s="4" t="s">
        <v>103</v>
      </c>
      <c r="E1384" s="8">
        <v>195.0</v>
      </c>
      <c r="F1384" s="4" t="str">
        <f t="shared" si="1"/>
        <v>500 &amp; Below</v>
      </c>
    </row>
    <row r="1385" ht="15.75" customHeight="1">
      <c r="A1385" s="4" t="s">
        <v>55</v>
      </c>
      <c r="B1385" s="7">
        <v>45845.0</v>
      </c>
      <c r="C1385" s="4" t="s">
        <v>425</v>
      </c>
      <c r="D1385" s="4" t="s">
        <v>1517</v>
      </c>
      <c r="E1385" s="8">
        <v>125.0</v>
      </c>
      <c r="F1385" s="4" t="str">
        <f t="shared" si="1"/>
        <v>500 &amp; Below</v>
      </c>
    </row>
    <row r="1386" ht="15.75" customHeight="1">
      <c r="A1386" s="4" t="s">
        <v>55</v>
      </c>
      <c r="B1386" s="7">
        <v>45845.0</v>
      </c>
      <c r="C1386" s="4" t="s">
        <v>425</v>
      </c>
      <c r="D1386" s="4" t="s">
        <v>1698</v>
      </c>
      <c r="E1386" s="8">
        <v>235.2</v>
      </c>
      <c r="F1386" s="4" t="str">
        <f t="shared" si="1"/>
        <v>500 &amp; Below</v>
      </c>
    </row>
    <row r="1387" ht="15.75" customHeight="1">
      <c r="A1387" s="4" t="s">
        <v>55</v>
      </c>
      <c r="B1387" s="7">
        <v>45846.0</v>
      </c>
      <c r="C1387" s="4" t="s">
        <v>425</v>
      </c>
      <c r="D1387" s="4" t="s">
        <v>3218</v>
      </c>
      <c r="E1387" s="8">
        <v>113.0</v>
      </c>
      <c r="F1387" s="4" t="str">
        <f t="shared" si="1"/>
        <v>500 &amp; Below</v>
      </c>
    </row>
    <row r="1388" ht="15.75" customHeight="1">
      <c r="A1388" s="4" t="s">
        <v>55</v>
      </c>
      <c r="B1388" s="7">
        <v>45846.0</v>
      </c>
      <c r="C1388" s="4" t="s">
        <v>425</v>
      </c>
      <c r="D1388" s="4" t="s">
        <v>3218</v>
      </c>
      <c r="E1388" s="8">
        <v>138.0</v>
      </c>
      <c r="F1388" s="4" t="str">
        <f t="shared" si="1"/>
        <v>500 &amp; Below</v>
      </c>
    </row>
    <row r="1389" ht="15.75" customHeight="1">
      <c r="A1389" s="4" t="s">
        <v>55</v>
      </c>
      <c r="B1389" s="7">
        <v>45846.0</v>
      </c>
      <c r="C1389" s="4" t="s">
        <v>425</v>
      </c>
      <c r="D1389" s="4" t="s">
        <v>108</v>
      </c>
      <c r="E1389" s="8">
        <v>27.0</v>
      </c>
      <c r="F1389" s="4" t="str">
        <f t="shared" si="1"/>
        <v>500 &amp; Below</v>
      </c>
    </row>
    <row r="1390" ht="15.75" customHeight="1">
      <c r="A1390" s="4" t="s">
        <v>55</v>
      </c>
      <c r="B1390" s="7">
        <v>45846.0</v>
      </c>
      <c r="C1390" s="4" t="s">
        <v>425</v>
      </c>
      <c r="D1390" s="4" t="s">
        <v>3244</v>
      </c>
      <c r="E1390" s="8">
        <v>30.0</v>
      </c>
      <c r="F1390" s="4" t="str">
        <f t="shared" si="1"/>
        <v>500 &amp; Below</v>
      </c>
    </row>
    <row r="1391" ht="15.75" customHeight="1">
      <c r="A1391" s="4" t="s">
        <v>55</v>
      </c>
      <c r="B1391" s="7">
        <v>45847.0</v>
      </c>
      <c r="C1391" s="4" t="s">
        <v>425</v>
      </c>
      <c r="D1391" s="4" t="s">
        <v>375</v>
      </c>
      <c r="E1391" s="8">
        <v>199.0</v>
      </c>
      <c r="F1391" s="4" t="str">
        <f t="shared" si="1"/>
        <v>500 &amp; Below</v>
      </c>
    </row>
    <row r="1392" ht="15.75" customHeight="1">
      <c r="A1392" s="4" t="s">
        <v>55</v>
      </c>
      <c r="B1392" s="7">
        <v>45847.0</v>
      </c>
      <c r="C1392" s="4" t="s">
        <v>425</v>
      </c>
      <c r="D1392" s="4" t="s">
        <v>124</v>
      </c>
      <c r="E1392" s="8">
        <v>859.0</v>
      </c>
      <c r="F1392" s="4" t="str">
        <f t="shared" si="1"/>
        <v>Above 500</v>
      </c>
    </row>
    <row r="1393" ht="15.75" customHeight="1">
      <c r="A1393" s="4" t="s">
        <v>55</v>
      </c>
      <c r="B1393" s="7">
        <v>45847.0</v>
      </c>
      <c r="C1393" s="4" t="s">
        <v>425</v>
      </c>
      <c r="D1393" s="4" t="s">
        <v>3010</v>
      </c>
      <c r="E1393" s="8">
        <v>1500.0</v>
      </c>
      <c r="F1393" s="4" t="str">
        <f t="shared" si="1"/>
        <v>Above 500</v>
      </c>
    </row>
    <row r="1394" ht="15.75" customHeight="1">
      <c r="A1394" s="4" t="s">
        <v>55</v>
      </c>
      <c r="B1394" s="7">
        <v>45848.0</v>
      </c>
      <c r="C1394" s="4" t="s">
        <v>425</v>
      </c>
      <c r="D1394" s="4" t="s">
        <v>3161</v>
      </c>
      <c r="E1394" s="8">
        <v>151.0</v>
      </c>
      <c r="F1394" s="4" t="str">
        <f t="shared" si="1"/>
        <v>500 &amp; Below</v>
      </c>
    </row>
    <row r="1395" ht="15.75" customHeight="1">
      <c r="A1395" s="4" t="s">
        <v>55</v>
      </c>
      <c r="B1395" s="7">
        <v>45848.0</v>
      </c>
      <c r="C1395" s="4" t="s">
        <v>425</v>
      </c>
      <c r="D1395" s="4" t="s">
        <v>3161</v>
      </c>
      <c r="E1395" s="8">
        <v>489.0</v>
      </c>
      <c r="F1395" s="4" t="str">
        <f t="shared" si="1"/>
        <v>500 &amp; Below</v>
      </c>
    </row>
    <row r="1396" ht="15.75" customHeight="1">
      <c r="A1396" s="4" t="s">
        <v>55</v>
      </c>
      <c r="B1396" s="7">
        <v>45849.0</v>
      </c>
      <c r="C1396" s="4" t="s">
        <v>425</v>
      </c>
      <c r="D1396" s="4" t="s">
        <v>52</v>
      </c>
      <c r="E1396" s="8">
        <v>368.0</v>
      </c>
      <c r="F1396" s="4" t="str">
        <f t="shared" si="1"/>
        <v>500 &amp; Below</v>
      </c>
    </row>
    <row r="1397" ht="15.75" customHeight="1">
      <c r="A1397" s="4" t="s">
        <v>55</v>
      </c>
      <c r="B1397" s="7">
        <v>45849.0</v>
      </c>
      <c r="C1397" s="4" t="s">
        <v>425</v>
      </c>
      <c r="D1397" s="4" t="s">
        <v>25</v>
      </c>
      <c r="E1397" s="8">
        <v>20.0</v>
      </c>
      <c r="F1397" s="4" t="str">
        <f t="shared" si="1"/>
        <v>500 &amp; Below</v>
      </c>
    </row>
    <row r="1398" ht="15.75" customHeight="1">
      <c r="A1398" s="4" t="s">
        <v>55</v>
      </c>
      <c r="B1398" s="7">
        <v>45849.0</v>
      </c>
      <c r="C1398" s="4" t="s">
        <v>425</v>
      </c>
      <c r="D1398" s="4" t="s">
        <v>45</v>
      </c>
      <c r="E1398" s="8">
        <v>1427.0</v>
      </c>
      <c r="F1398" s="4" t="str">
        <f t="shared" si="1"/>
        <v>Above 500</v>
      </c>
    </row>
    <row r="1399" ht="15.75" customHeight="1">
      <c r="A1399" s="4" t="s">
        <v>55</v>
      </c>
      <c r="B1399" s="7">
        <v>45850.0</v>
      </c>
      <c r="C1399" s="4" t="s">
        <v>425</v>
      </c>
      <c r="D1399" s="4" t="s">
        <v>3218</v>
      </c>
      <c r="E1399" s="8">
        <v>61.0</v>
      </c>
      <c r="F1399" s="4" t="str">
        <f t="shared" si="1"/>
        <v>500 &amp; Below</v>
      </c>
    </row>
    <row r="1400" ht="15.75" customHeight="1">
      <c r="A1400" s="4" t="s">
        <v>55</v>
      </c>
      <c r="B1400" s="7">
        <v>45850.0</v>
      </c>
      <c r="C1400" s="4" t="s">
        <v>425</v>
      </c>
      <c r="D1400" s="4" t="s">
        <v>928</v>
      </c>
      <c r="E1400" s="8">
        <v>120.0</v>
      </c>
      <c r="F1400" s="4" t="str">
        <f t="shared" si="1"/>
        <v>500 &amp; Below</v>
      </c>
    </row>
    <row r="1401" ht="15.75" customHeight="1">
      <c r="A1401" s="4" t="s">
        <v>55</v>
      </c>
      <c r="B1401" s="7">
        <v>45851.0</v>
      </c>
      <c r="C1401" s="4" t="s">
        <v>425</v>
      </c>
      <c r="D1401" s="4" t="s">
        <v>39</v>
      </c>
      <c r="E1401" s="8">
        <v>10.0</v>
      </c>
      <c r="F1401" s="4" t="str">
        <f t="shared" si="1"/>
        <v>500 &amp; Below</v>
      </c>
    </row>
    <row r="1402" ht="15.75" customHeight="1">
      <c r="A1402" s="4" t="s">
        <v>55</v>
      </c>
      <c r="B1402" s="7">
        <v>45851.0</v>
      </c>
      <c r="C1402" s="4" t="s">
        <v>425</v>
      </c>
      <c r="D1402" s="4" t="s">
        <v>36</v>
      </c>
      <c r="E1402" s="8">
        <v>1886.0</v>
      </c>
      <c r="F1402" s="4" t="str">
        <f t="shared" si="1"/>
        <v>Above 500</v>
      </c>
    </row>
    <row r="1403" ht="15.75" customHeight="1">
      <c r="A1403" s="4" t="s">
        <v>55</v>
      </c>
      <c r="B1403" s="7">
        <v>45851.0</v>
      </c>
      <c r="C1403" s="4" t="s">
        <v>425</v>
      </c>
      <c r="D1403" s="4" t="s">
        <v>36</v>
      </c>
      <c r="E1403" s="8">
        <v>2642.0</v>
      </c>
      <c r="F1403" s="4" t="str">
        <f t="shared" si="1"/>
        <v>Above 500</v>
      </c>
    </row>
    <row r="1404" ht="15.75" customHeight="1">
      <c r="A1404" s="4" t="s">
        <v>55</v>
      </c>
      <c r="B1404" s="7">
        <v>45851.0</v>
      </c>
      <c r="C1404" s="4" t="s">
        <v>425</v>
      </c>
      <c r="D1404" s="4" t="s">
        <v>36</v>
      </c>
      <c r="E1404" s="8">
        <v>2586.0</v>
      </c>
      <c r="F1404" s="4" t="str">
        <f t="shared" si="1"/>
        <v>Above 500</v>
      </c>
    </row>
    <row r="1405" ht="15.75" customHeight="1">
      <c r="A1405" s="4" t="s">
        <v>55</v>
      </c>
      <c r="B1405" s="7">
        <v>45852.0</v>
      </c>
      <c r="C1405" s="4" t="s">
        <v>425</v>
      </c>
      <c r="D1405" s="4" t="s">
        <v>121</v>
      </c>
      <c r="E1405" s="8">
        <v>4000.0</v>
      </c>
      <c r="F1405" s="4" t="str">
        <f t="shared" si="1"/>
        <v>Above 500</v>
      </c>
    </row>
    <row r="1406" ht="15.75" customHeight="1">
      <c r="A1406" s="4" t="s">
        <v>55</v>
      </c>
      <c r="B1406" s="7">
        <v>45852.0</v>
      </c>
      <c r="C1406" s="4" t="s">
        <v>425</v>
      </c>
      <c r="D1406" s="4" t="s">
        <v>1407</v>
      </c>
      <c r="E1406" s="8">
        <v>200.0</v>
      </c>
      <c r="F1406" s="4" t="str">
        <f t="shared" si="1"/>
        <v>500 &amp; Below</v>
      </c>
    </row>
    <row r="1407" ht="15.75" customHeight="1">
      <c r="A1407" s="4" t="s">
        <v>55</v>
      </c>
      <c r="B1407" s="7">
        <v>45854.0</v>
      </c>
      <c r="C1407" s="4" t="s">
        <v>425</v>
      </c>
      <c r="D1407" s="4" t="s">
        <v>97</v>
      </c>
      <c r="E1407" s="8">
        <v>330.0</v>
      </c>
      <c r="F1407" s="4" t="str">
        <f t="shared" si="1"/>
        <v>500 &amp; Below</v>
      </c>
    </row>
    <row r="1408" ht="15.75" customHeight="1">
      <c r="A1408" s="4" t="s">
        <v>55</v>
      </c>
      <c r="B1408" s="7">
        <v>45855.0</v>
      </c>
      <c r="C1408" s="4" t="s">
        <v>425</v>
      </c>
      <c r="D1408" s="4" t="s">
        <v>3218</v>
      </c>
      <c r="E1408" s="8">
        <v>212.0</v>
      </c>
      <c r="F1408" s="4" t="str">
        <f t="shared" si="1"/>
        <v>500 &amp; Below</v>
      </c>
    </row>
    <row r="1409" ht="15.75" customHeight="1">
      <c r="A1409" s="4" t="s">
        <v>55</v>
      </c>
      <c r="B1409" s="7">
        <v>45856.0</v>
      </c>
      <c r="C1409" s="4" t="s">
        <v>425</v>
      </c>
      <c r="D1409" s="4" t="s">
        <v>18</v>
      </c>
      <c r="E1409" s="8">
        <v>148.0</v>
      </c>
      <c r="F1409" s="4" t="str">
        <f t="shared" si="1"/>
        <v>500 &amp; Below</v>
      </c>
    </row>
    <row r="1410" ht="15.75" customHeight="1">
      <c r="A1410" s="4" t="s">
        <v>55</v>
      </c>
      <c r="B1410" s="7">
        <v>45856.0</v>
      </c>
      <c r="C1410" s="4" t="s">
        <v>425</v>
      </c>
      <c r="D1410" s="4" t="s">
        <v>3245</v>
      </c>
      <c r="E1410" s="8">
        <v>15.0</v>
      </c>
      <c r="F1410" s="4" t="str">
        <f t="shared" si="1"/>
        <v>500 &amp; Below</v>
      </c>
    </row>
    <row r="1411" ht="15.75" customHeight="1">
      <c r="A1411" s="4" t="s">
        <v>55</v>
      </c>
      <c r="B1411" s="7">
        <v>45856.0</v>
      </c>
      <c r="C1411" s="4" t="s">
        <v>425</v>
      </c>
      <c r="D1411" s="4" t="s">
        <v>121</v>
      </c>
      <c r="E1411" s="8">
        <v>3000.0</v>
      </c>
      <c r="F1411" s="4" t="str">
        <f t="shared" si="1"/>
        <v>Above 500</v>
      </c>
    </row>
    <row r="1412" ht="15.75" customHeight="1">
      <c r="A1412" s="4" t="s">
        <v>55</v>
      </c>
      <c r="B1412" s="7">
        <v>45856.0</v>
      </c>
      <c r="C1412" s="4" t="s">
        <v>425</v>
      </c>
      <c r="D1412" s="4" t="s">
        <v>25</v>
      </c>
      <c r="E1412" s="8">
        <v>27.0</v>
      </c>
      <c r="F1412" s="4" t="str">
        <f t="shared" si="1"/>
        <v>500 &amp; Below</v>
      </c>
    </row>
    <row r="1413" ht="15.75" customHeight="1">
      <c r="A1413" s="4" t="s">
        <v>55</v>
      </c>
      <c r="B1413" s="7">
        <v>45856.0</v>
      </c>
      <c r="C1413" s="4" t="s">
        <v>425</v>
      </c>
      <c r="D1413" s="4" t="s">
        <v>25</v>
      </c>
      <c r="E1413" s="8">
        <v>20.0</v>
      </c>
      <c r="F1413" s="4" t="str">
        <f t="shared" si="1"/>
        <v>500 &amp; Below</v>
      </c>
    </row>
    <row r="1414" ht="15.75" customHeight="1">
      <c r="A1414" s="4" t="s">
        <v>55</v>
      </c>
      <c r="B1414" s="7">
        <v>45856.0</v>
      </c>
      <c r="C1414" s="4" t="s">
        <v>425</v>
      </c>
      <c r="D1414" s="4" t="s">
        <v>45</v>
      </c>
      <c r="E1414" s="8">
        <v>1125.0</v>
      </c>
      <c r="F1414" s="4" t="str">
        <f t="shared" si="1"/>
        <v>Above 500</v>
      </c>
    </row>
    <row r="1415" ht="15.75" customHeight="1">
      <c r="A1415" s="4" t="s">
        <v>55</v>
      </c>
      <c r="B1415" s="7">
        <v>45856.0</v>
      </c>
      <c r="C1415" s="4" t="s">
        <v>425</v>
      </c>
      <c r="D1415" s="4" t="s">
        <v>1933</v>
      </c>
      <c r="E1415" s="8">
        <v>35.0</v>
      </c>
      <c r="F1415" s="4" t="str">
        <f t="shared" si="1"/>
        <v>500 &amp; Below</v>
      </c>
    </row>
    <row r="1416" ht="15.75" customHeight="1">
      <c r="A1416" s="4" t="s">
        <v>55</v>
      </c>
      <c r="B1416" s="7">
        <v>45857.0</v>
      </c>
      <c r="C1416" s="4" t="s">
        <v>425</v>
      </c>
      <c r="D1416" s="4" t="s">
        <v>3222</v>
      </c>
      <c r="E1416" s="8">
        <v>82.0</v>
      </c>
      <c r="F1416" s="4" t="str">
        <f t="shared" si="1"/>
        <v>500 &amp; Below</v>
      </c>
    </row>
    <row r="1417" ht="15.75" customHeight="1">
      <c r="A1417" s="4" t="s">
        <v>55</v>
      </c>
      <c r="B1417" s="7">
        <v>45857.0</v>
      </c>
      <c r="C1417" s="4" t="s">
        <v>425</v>
      </c>
      <c r="D1417" s="4" t="s">
        <v>1644</v>
      </c>
      <c r="E1417" s="8">
        <v>250.0</v>
      </c>
      <c r="F1417" s="4" t="str">
        <f t="shared" si="1"/>
        <v>500 &amp; Below</v>
      </c>
    </row>
    <row r="1418" ht="15.75" customHeight="1">
      <c r="A1418" s="4" t="s">
        <v>55</v>
      </c>
      <c r="B1418" s="7">
        <v>45858.0</v>
      </c>
      <c r="C1418" s="4" t="s">
        <v>425</v>
      </c>
      <c r="D1418" s="4" t="s">
        <v>3246</v>
      </c>
      <c r="E1418" s="8">
        <v>126.0</v>
      </c>
      <c r="F1418" s="4" t="str">
        <f t="shared" si="1"/>
        <v>500 &amp; Below</v>
      </c>
    </row>
    <row r="1419" ht="15.75" customHeight="1">
      <c r="A1419" s="4" t="s">
        <v>55</v>
      </c>
      <c r="B1419" s="7">
        <v>45859.0</v>
      </c>
      <c r="C1419" s="4" t="s">
        <v>425</v>
      </c>
      <c r="D1419" s="4" t="s">
        <v>3247</v>
      </c>
      <c r="E1419" s="8">
        <v>10.0</v>
      </c>
      <c r="F1419" s="4" t="str">
        <f t="shared" si="1"/>
        <v>500 &amp; Below</v>
      </c>
    </row>
    <row r="1420" ht="15.75" customHeight="1">
      <c r="A1420" s="4" t="s">
        <v>55</v>
      </c>
      <c r="B1420" s="7">
        <v>45859.0</v>
      </c>
      <c r="C1420" s="4" t="s">
        <v>425</v>
      </c>
      <c r="D1420" s="4" t="s">
        <v>2928</v>
      </c>
      <c r="E1420" s="8">
        <v>50.0</v>
      </c>
      <c r="F1420" s="4" t="str">
        <f t="shared" si="1"/>
        <v>500 &amp; Below</v>
      </c>
    </row>
    <row r="1421" ht="15.75" customHeight="1">
      <c r="A1421" s="4" t="s">
        <v>55</v>
      </c>
      <c r="B1421" s="7">
        <v>45859.0</v>
      </c>
      <c r="C1421" s="4" t="s">
        <v>425</v>
      </c>
      <c r="D1421" s="4" t="s">
        <v>37</v>
      </c>
      <c r="E1421" s="8">
        <v>145.0</v>
      </c>
      <c r="F1421" s="4" t="str">
        <f t="shared" si="1"/>
        <v>500 &amp; Below</v>
      </c>
    </row>
    <row r="1422" ht="15.75" customHeight="1">
      <c r="A1422" s="4" t="s">
        <v>55</v>
      </c>
      <c r="B1422" s="7">
        <v>45860.0</v>
      </c>
      <c r="C1422" s="4" t="s">
        <v>425</v>
      </c>
      <c r="D1422" s="4" t="s">
        <v>3218</v>
      </c>
      <c r="E1422" s="8">
        <v>100.0</v>
      </c>
      <c r="F1422" s="4" t="str">
        <f t="shared" si="1"/>
        <v>500 &amp; Below</v>
      </c>
    </row>
    <row r="1423" ht="15.75" customHeight="1">
      <c r="A1423" s="4" t="s">
        <v>55</v>
      </c>
      <c r="B1423" s="7">
        <v>45860.0</v>
      </c>
      <c r="C1423" s="4" t="s">
        <v>425</v>
      </c>
      <c r="D1423" s="4" t="s">
        <v>37</v>
      </c>
      <c r="E1423" s="8">
        <v>319.0</v>
      </c>
      <c r="F1423" s="4" t="str">
        <f t="shared" si="1"/>
        <v>500 &amp; Below</v>
      </c>
    </row>
    <row r="1424" ht="15.75" customHeight="1">
      <c r="A1424" s="4" t="s">
        <v>55</v>
      </c>
      <c r="B1424" s="7">
        <v>45860.0</v>
      </c>
      <c r="C1424" s="4" t="s">
        <v>425</v>
      </c>
      <c r="D1424" s="4" t="s">
        <v>3247</v>
      </c>
      <c r="E1424" s="8">
        <v>15.0</v>
      </c>
      <c r="F1424" s="4" t="str">
        <f t="shared" si="1"/>
        <v>500 &amp; Below</v>
      </c>
    </row>
    <row r="1425" ht="15.75" customHeight="1">
      <c r="A1425" s="4" t="s">
        <v>55</v>
      </c>
      <c r="B1425" s="7">
        <v>45860.0</v>
      </c>
      <c r="C1425" s="4" t="s">
        <v>425</v>
      </c>
      <c r="D1425" s="4" t="s">
        <v>121</v>
      </c>
      <c r="E1425" s="8">
        <v>80.0</v>
      </c>
      <c r="F1425" s="4" t="str">
        <f t="shared" si="1"/>
        <v>500 &amp; Below</v>
      </c>
    </row>
    <row r="1426" ht="15.75" customHeight="1">
      <c r="A1426" s="4" t="s">
        <v>55</v>
      </c>
      <c r="B1426" s="7">
        <v>45861.0</v>
      </c>
      <c r="C1426" s="4" t="s">
        <v>425</v>
      </c>
      <c r="D1426" s="4" t="s">
        <v>1507</v>
      </c>
      <c r="E1426" s="8">
        <v>250.0</v>
      </c>
      <c r="F1426" s="4" t="str">
        <f t="shared" si="1"/>
        <v>500 &amp; Below</v>
      </c>
    </row>
    <row r="1427" ht="15.75" customHeight="1">
      <c r="A1427" s="4" t="s">
        <v>55</v>
      </c>
      <c r="B1427" s="7">
        <v>45863.0</v>
      </c>
      <c r="C1427" s="4" t="s">
        <v>425</v>
      </c>
      <c r="D1427" s="4" t="s">
        <v>108</v>
      </c>
      <c r="E1427" s="8">
        <v>25.0</v>
      </c>
      <c r="F1427" s="4" t="str">
        <f t="shared" si="1"/>
        <v>500 &amp; Below</v>
      </c>
    </row>
    <row r="1428" ht="15.75" customHeight="1">
      <c r="A1428" s="4" t="s">
        <v>55</v>
      </c>
      <c r="B1428" s="7">
        <v>45863.0</v>
      </c>
      <c r="C1428" s="4" t="s">
        <v>425</v>
      </c>
      <c r="D1428" s="4" t="s">
        <v>115</v>
      </c>
      <c r="E1428" s="8">
        <v>90.0</v>
      </c>
      <c r="F1428" s="4" t="str">
        <f t="shared" si="1"/>
        <v>500 &amp; Below</v>
      </c>
    </row>
    <row r="1429" ht="15.75" customHeight="1">
      <c r="A1429" s="4" t="s">
        <v>55</v>
      </c>
      <c r="B1429" s="7">
        <v>45863.0</v>
      </c>
      <c r="C1429" s="4" t="s">
        <v>425</v>
      </c>
      <c r="D1429" s="4" t="s">
        <v>102</v>
      </c>
      <c r="E1429" s="8">
        <v>10.0</v>
      </c>
      <c r="F1429" s="4" t="str">
        <f t="shared" si="1"/>
        <v>500 &amp; Below</v>
      </c>
    </row>
    <row r="1430" ht="15.75" customHeight="1">
      <c r="A1430" s="4" t="s">
        <v>55</v>
      </c>
      <c r="B1430" s="7">
        <v>45864.0</v>
      </c>
      <c r="C1430" s="4" t="s">
        <v>425</v>
      </c>
      <c r="D1430" s="4" t="s">
        <v>108</v>
      </c>
      <c r="E1430" s="8">
        <v>50.0</v>
      </c>
      <c r="F1430" s="4" t="str">
        <f t="shared" si="1"/>
        <v>500 &amp; Below</v>
      </c>
    </row>
    <row r="1431" ht="15.75" customHeight="1">
      <c r="A1431" s="4" t="s">
        <v>55</v>
      </c>
      <c r="B1431" s="7">
        <v>45864.0</v>
      </c>
      <c r="C1431" s="4" t="s">
        <v>425</v>
      </c>
      <c r="D1431" s="4" t="s">
        <v>106</v>
      </c>
      <c r="E1431" s="8">
        <v>20.0</v>
      </c>
      <c r="F1431" s="4" t="str">
        <f t="shared" si="1"/>
        <v>500 &amp; Below</v>
      </c>
    </row>
    <row r="1432" ht="15.75" customHeight="1">
      <c r="A1432" s="4" t="s">
        <v>55</v>
      </c>
      <c r="B1432" s="7">
        <v>45865.0</v>
      </c>
      <c r="C1432" s="4" t="s">
        <v>425</v>
      </c>
      <c r="D1432" s="4" t="s">
        <v>3218</v>
      </c>
      <c r="E1432" s="8">
        <v>224.0</v>
      </c>
      <c r="F1432" s="4" t="str">
        <f t="shared" si="1"/>
        <v>500 &amp; Below</v>
      </c>
    </row>
    <row r="1433" ht="15.75" customHeight="1">
      <c r="A1433" s="4" t="s">
        <v>55</v>
      </c>
      <c r="B1433" s="7">
        <v>45865.0</v>
      </c>
      <c r="C1433" s="4" t="s">
        <v>425</v>
      </c>
      <c r="D1433" s="4" t="s">
        <v>3248</v>
      </c>
      <c r="E1433" s="8">
        <v>151.0</v>
      </c>
      <c r="F1433" s="4" t="str">
        <f t="shared" si="1"/>
        <v>500 &amp; Below</v>
      </c>
    </row>
    <row r="1434" ht="15.75" customHeight="1">
      <c r="A1434" s="4" t="s">
        <v>55</v>
      </c>
      <c r="B1434" s="7">
        <v>45866.0</v>
      </c>
      <c r="C1434" s="4" t="s">
        <v>425</v>
      </c>
      <c r="D1434" s="4" t="s">
        <v>3218</v>
      </c>
      <c r="E1434" s="8">
        <v>114.0</v>
      </c>
      <c r="F1434" s="4" t="str">
        <f t="shared" si="1"/>
        <v>500 &amp; Below</v>
      </c>
    </row>
    <row r="1435" ht="15.75" customHeight="1">
      <c r="A1435" s="4" t="s">
        <v>55</v>
      </c>
      <c r="B1435" s="7">
        <v>45867.0</v>
      </c>
      <c r="C1435" s="4" t="s">
        <v>425</v>
      </c>
      <c r="D1435" s="4" t="s">
        <v>2357</v>
      </c>
      <c r="E1435" s="8">
        <v>305.0</v>
      </c>
      <c r="F1435" s="4" t="str">
        <f t="shared" si="1"/>
        <v>500 &amp; Below</v>
      </c>
    </row>
    <row r="1436" ht="15.75" customHeight="1">
      <c r="A1436" s="4" t="s">
        <v>55</v>
      </c>
      <c r="B1436" s="7">
        <v>45867.0</v>
      </c>
      <c r="C1436" s="4" t="s">
        <v>425</v>
      </c>
      <c r="D1436" s="4" t="s">
        <v>28</v>
      </c>
      <c r="E1436" s="8">
        <v>240.0</v>
      </c>
      <c r="F1436" s="4" t="str">
        <f t="shared" si="1"/>
        <v>500 &amp; Below</v>
      </c>
    </row>
    <row r="1437" ht="15.75" customHeight="1">
      <c r="A1437" s="4" t="s">
        <v>55</v>
      </c>
      <c r="B1437" s="7">
        <v>45868.0</v>
      </c>
      <c r="C1437" s="4" t="s">
        <v>425</v>
      </c>
      <c r="D1437" s="4" t="s">
        <v>115</v>
      </c>
      <c r="E1437" s="8">
        <v>140.0</v>
      </c>
      <c r="F1437" s="4" t="str">
        <f t="shared" si="1"/>
        <v>500 &amp; Below</v>
      </c>
    </row>
    <row r="1438" ht="15.75" customHeight="1">
      <c r="A1438" s="4" t="s">
        <v>55</v>
      </c>
      <c r="B1438" s="7">
        <v>45868.0</v>
      </c>
      <c r="C1438" s="4" t="s">
        <v>425</v>
      </c>
      <c r="D1438" s="4" t="s">
        <v>102</v>
      </c>
      <c r="E1438" s="8">
        <v>10.0</v>
      </c>
      <c r="F1438" s="4" t="str">
        <f t="shared" si="1"/>
        <v>500 &amp; Below</v>
      </c>
    </row>
    <row r="1439" ht="15.75" customHeight="1">
      <c r="A1439" s="4" t="s">
        <v>55</v>
      </c>
      <c r="B1439" s="7">
        <v>45869.0</v>
      </c>
      <c r="C1439" s="4" t="s">
        <v>425</v>
      </c>
      <c r="D1439" s="4" t="s">
        <v>3218</v>
      </c>
      <c r="E1439" s="8">
        <v>194.0</v>
      </c>
      <c r="F1439" s="4" t="str">
        <f t="shared" si="1"/>
        <v>500 &amp; Below</v>
      </c>
    </row>
    <row r="1440" ht="15.75" customHeight="1">
      <c r="A1440" s="4" t="s">
        <v>55</v>
      </c>
      <c r="B1440" s="7">
        <v>45869.0</v>
      </c>
      <c r="C1440" s="4" t="s">
        <v>425</v>
      </c>
      <c r="D1440" s="4" t="s">
        <v>1507</v>
      </c>
      <c r="E1440" s="8">
        <v>60.0</v>
      </c>
      <c r="F1440" s="4" t="str">
        <f t="shared" si="1"/>
        <v>500 &amp; Below</v>
      </c>
    </row>
    <row r="1441" ht="15.75" customHeight="1">
      <c r="A1441" s="4" t="s">
        <v>55</v>
      </c>
      <c r="B1441" s="7">
        <v>45869.0</v>
      </c>
      <c r="C1441" s="4" t="s">
        <v>425</v>
      </c>
      <c r="D1441" s="4" t="s">
        <v>108</v>
      </c>
      <c r="E1441" s="8">
        <v>65.0</v>
      </c>
      <c r="F1441" s="4" t="str">
        <f t="shared" si="1"/>
        <v>500 &amp; Below</v>
      </c>
    </row>
    <row r="1442" ht="15.75" customHeight="1">
      <c r="A1442" s="4" t="s">
        <v>55</v>
      </c>
      <c r="B1442" s="7">
        <v>45869.0</v>
      </c>
      <c r="C1442" s="4" t="s">
        <v>425</v>
      </c>
      <c r="D1442" s="4" t="s">
        <v>106</v>
      </c>
      <c r="E1442" s="8">
        <v>20.0</v>
      </c>
      <c r="F1442" s="4" t="str">
        <f t="shared" si="1"/>
        <v>500 &amp; Below</v>
      </c>
    </row>
    <row r="1443" ht="15.75" customHeight="1">
      <c r="A1443" s="4" t="s">
        <v>55</v>
      </c>
      <c r="B1443" s="7">
        <v>45870.0</v>
      </c>
      <c r="C1443" s="4" t="s">
        <v>474</v>
      </c>
      <c r="D1443" s="4" t="s">
        <v>3249</v>
      </c>
      <c r="E1443" s="8">
        <v>350.0</v>
      </c>
      <c r="F1443" s="4" t="str">
        <f t="shared" si="1"/>
        <v>500 &amp; Below</v>
      </c>
    </row>
    <row r="1444" ht="15.75" customHeight="1">
      <c r="A1444" s="4" t="s">
        <v>55</v>
      </c>
      <c r="B1444" s="7">
        <v>45871.0</v>
      </c>
      <c r="C1444" s="4" t="s">
        <v>474</v>
      </c>
      <c r="D1444" s="4" t="s">
        <v>3250</v>
      </c>
      <c r="E1444" s="8">
        <v>217.0</v>
      </c>
      <c r="F1444" s="4" t="str">
        <f t="shared" si="1"/>
        <v>500 &amp; Below</v>
      </c>
    </row>
    <row r="1445" ht="15.75" customHeight="1">
      <c r="A1445" s="4" t="s">
        <v>55</v>
      </c>
      <c r="B1445" s="7">
        <v>45871.0</v>
      </c>
      <c r="C1445" s="4" t="s">
        <v>474</v>
      </c>
      <c r="D1445" s="4" t="s">
        <v>3251</v>
      </c>
      <c r="E1445" s="8">
        <v>585.0</v>
      </c>
      <c r="F1445" s="4" t="str">
        <f t="shared" si="1"/>
        <v>Above 500</v>
      </c>
    </row>
    <row r="1446" ht="15.75" customHeight="1">
      <c r="A1446" s="4" t="s">
        <v>55</v>
      </c>
      <c r="B1446" s="7">
        <v>45871.0</v>
      </c>
      <c r="C1446" s="4" t="s">
        <v>474</v>
      </c>
      <c r="D1446" s="4" t="s">
        <v>826</v>
      </c>
      <c r="E1446" s="8">
        <v>455.0</v>
      </c>
      <c r="F1446" s="4" t="str">
        <f t="shared" si="1"/>
        <v>500 &amp; Below</v>
      </c>
    </row>
    <row r="1447" ht="15.75" customHeight="1">
      <c r="A1447" s="4" t="s">
        <v>55</v>
      </c>
      <c r="B1447" s="7">
        <v>45871.0</v>
      </c>
      <c r="C1447" s="4" t="s">
        <v>474</v>
      </c>
      <c r="D1447" s="4" t="s">
        <v>18</v>
      </c>
      <c r="E1447" s="8">
        <v>266.8</v>
      </c>
      <c r="F1447" s="4" t="str">
        <f t="shared" si="1"/>
        <v>500 &amp; Below</v>
      </c>
    </row>
    <row r="1448" ht="15.75" customHeight="1">
      <c r="A1448" s="4" t="s">
        <v>55</v>
      </c>
      <c r="B1448" s="7">
        <v>45871.0</v>
      </c>
      <c r="C1448" s="4" t="s">
        <v>474</v>
      </c>
      <c r="D1448" s="4" t="s">
        <v>75</v>
      </c>
      <c r="E1448" s="8">
        <v>100.0</v>
      </c>
      <c r="F1448" s="4" t="str">
        <f t="shared" si="1"/>
        <v>500 &amp; Below</v>
      </c>
    </row>
    <row r="1449" ht="15.75" customHeight="1">
      <c r="A1449" s="4" t="s">
        <v>55</v>
      </c>
      <c r="B1449" s="7">
        <v>45871.0</v>
      </c>
      <c r="C1449" s="4" t="s">
        <v>474</v>
      </c>
      <c r="D1449" s="4" t="s">
        <v>3222</v>
      </c>
      <c r="E1449" s="8">
        <v>125.0</v>
      </c>
      <c r="F1449" s="4" t="str">
        <f t="shared" si="1"/>
        <v>500 &amp; Below</v>
      </c>
    </row>
    <row r="1450" ht="15.75" customHeight="1">
      <c r="A1450" s="4" t="s">
        <v>55</v>
      </c>
      <c r="B1450" s="7">
        <v>45871.0</v>
      </c>
      <c r="C1450" s="4" t="s">
        <v>474</v>
      </c>
      <c r="D1450" s="4" t="s">
        <v>39</v>
      </c>
      <c r="E1450" s="8">
        <v>20.0</v>
      </c>
      <c r="F1450" s="4" t="str">
        <f t="shared" si="1"/>
        <v>500 &amp; Below</v>
      </c>
    </row>
    <row r="1451" ht="15.75" customHeight="1">
      <c r="A1451" s="4" t="s">
        <v>55</v>
      </c>
      <c r="B1451" s="7">
        <v>45872.0</v>
      </c>
      <c r="C1451" s="4" t="s">
        <v>474</v>
      </c>
      <c r="D1451" s="4" t="s">
        <v>832</v>
      </c>
      <c r="E1451" s="8">
        <v>299.0</v>
      </c>
      <c r="F1451" s="4" t="str">
        <f t="shared" si="1"/>
        <v>500 &amp; Below</v>
      </c>
    </row>
    <row r="1452" ht="15.75" customHeight="1">
      <c r="A1452" s="4" t="s">
        <v>55</v>
      </c>
      <c r="B1452" s="7">
        <v>45872.0</v>
      </c>
      <c r="C1452" s="4" t="s">
        <v>474</v>
      </c>
      <c r="D1452" s="4" t="s">
        <v>989</v>
      </c>
      <c r="E1452" s="8">
        <v>1000.0</v>
      </c>
      <c r="F1452" s="4" t="str">
        <f t="shared" si="1"/>
        <v>Above 500</v>
      </c>
    </row>
    <row r="1453" ht="15.75" customHeight="1">
      <c r="A1453" s="4" t="s">
        <v>55</v>
      </c>
      <c r="B1453" s="7">
        <v>45872.0</v>
      </c>
      <c r="C1453" s="4" t="s">
        <v>474</v>
      </c>
      <c r="D1453" s="4" t="s">
        <v>3252</v>
      </c>
      <c r="E1453" s="8">
        <v>300.0</v>
      </c>
      <c r="F1453" s="4" t="str">
        <f t="shared" si="1"/>
        <v>500 &amp; Below</v>
      </c>
    </row>
    <row r="1454" ht="15.75" customHeight="1">
      <c r="A1454" s="4" t="s">
        <v>55</v>
      </c>
      <c r="B1454" s="7">
        <v>45872.0</v>
      </c>
      <c r="C1454" s="4" t="s">
        <v>474</v>
      </c>
      <c r="D1454" s="4" t="s">
        <v>3253</v>
      </c>
      <c r="E1454" s="8">
        <v>40.0</v>
      </c>
      <c r="F1454" s="4" t="str">
        <f t="shared" si="1"/>
        <v>500 &amp; Below</v>
      </c>
    </row>
    <row r="1455" ht="15.75" customHeight="1">
      <c r="A1455" s="4" t="s">
        <v>55</v>
      </c>
      <c r="B1455" s="7">
        <v>45872.0</v>
      </c>
      <c r="C1455" s="4" t="s">
        <v>474</v>
      </c>
      <c r="D1455" s="4" t="s">
        <v>3254</v>
      </c>
      <c r="E1455" s="8">
        <v>830.0</v>
      </c>
      <c r="F1455" s="4" t="str">
        <f t="shared" si="1"/>
        <v>Above 500</v>
      </c>
    </row>
    <row r="1456" ht="15.75" customHeight="1">
      <c r="A1456" s="4" t="s">
        <v>55</v>
      </c>
      <c r="B1456" s="7">
        <v>45872.0</v>
      </c>
      <c r="C1456" s="4" t="s">
        <v>474</v>
      </c>
      <c r="D1456" s="4" t="s">
        <v>2928</v>
      </c>
      <c r="E1456" s="8">
        <v>300.0</v>
      </c>
      <c r="F1456" s="4" t="str">
        <f t="shared" si="1"/>
        <v>500 &amp; Below</v>
      </c>
    </row>
    <row r="1457" ht="15.75" customHeight="1">
      <c r="A1457" s="4" t="s">
        <v>55</v>
      </c>
      <c r="B1457" s="7">
        <v>45873.0</v>
      </c>
      <c r="C1457" s="4" t="s">
        <v>474</v>
      </c>
      <c r="D1457" s="4" t="s">
        <v>119</v>
      </c>
      <c r="E1457" s="8">
        <v>770.0</v>
      </c>
      <c r="F1457" s="4" t="str">
        <f t="shared" si="1"/>
        <v>Above 500</v>
      </c>
    </row>
    <row r="1458" ht="15.75" customHeight="1">
      <c r="A1458" s="4" t="s">
        <v>55</v>
      </c>
      <c r="B1458" s="7">
        <v>45873.0</v>
      </c>
      <c r="C1458" s="4" t="s">
        <v>474</v>
      </c>
      <c r="D1458" s="4" t="s">
        <v>928</v>
      </c>
      <c r="E1458" s="8">
        <v>200.0</v>
      </c>
      <c r="F1458" s="4" t="str">
        <f t="shared" si="1"/>
        <v>500 &amp; Below</v>
      </c>
    </row>
    <row r="1459" ht="15.75" customHeight="1">
      <c r="A1459" s="4" t="s">
        <v>55</v>
      </c>
      <c r="B1459" s="7">
        <v>45873.0</v>
      </c>
      <c r="C1459" s="4" t="s">
        <v>474</v>
      </c>
      <c r="D1459" s="4" t="s">
        <v>1698</v>
      </c>
      <c r="E1459" s="8">
        <v>143.2</v>
      </c>
      <c r="F1459" s="4" t="str">
        <f t="shared" si="1"/>
        <v>500 &amp; Below</v>
      </c>
    </row>
    <row r="1460" ht="15.75" customHeight="1">
      <c r="A1460" s="4" t="s">
        <v>55</v>
      </c>
      <c r="B1460" s="7">
        <v>45873.0</v>
      </c>
      <c r="C1460" s="4" t="s">
        <v>474</v>
      </c>
      <c r="D1460" s="4" t="s">
        <v>1392</v>
      </c>
      <c r="E1460" s="8">
        <v>220.0</v>
      </c>
      <c r="F1460" s="4" t="str">
        <f t="shared" si="1"/>
        <v>500 &amp; Below</v>
      </c>
    </row>
    <row r="1461" ht="15.75" customHeight="1">
      <c r="A1461" s="4" t="s">
        <v>55</v>
      </c>
      <c r="B1461" s="7">
        <v>45873.0</v>
      </c>
      <c r="C1461" s="4" t="s">
        <v>474</v>
      </c>
      <c r="D1461" s="4" t="s">
        <v>108</v>
      </c>
      <c r="E1461" s="8">
        <v>50.0</v>
      </c>
      <c r="F1461" s="4" t="str">
        <f t="shared" si="1"/>
        <v>500 &amp; Below</v>
      </c>
    </row>
    <row r="1462" ht="15.75" customHeight="1">
      <c r="A1462" s="4" t="s">
        <v>55</v>
      </c>
      <c r="B1462" s="7">
        <v>45874.0</v>
      </c>
      <c r="C1462" s="4" t="s">
        <v>474</v>
      </c>
      <c r="D1462" s="4" t="s">
        <v>1507</v>
      </c>
      <c r="E1462" s="8">
        <v>42.0</v>
      </c>
      <c r="F1462" s="4" t="str">
        <f t="shared" si="1"/>
        <v>500 &amp; Below</v>
      </c>
    </row>
    <row r="1463" ht="15.75" customHeight="1">
      <c r="A1463" s="4" t="s">
        <v>55</v>
      </c>
      <c r="B1463" s="7">
        <v>45874.0</v>
      </c>
      <c r="C1463" s="4" t="s">
        <v>474</v>
      </c>
      <c r="D1463" s="4" t="s">
        <v>1372</v>
      </c>
      <c r="E1463" s="8">
        <v>20.0</v>
      </c>
      <c r="F1463" s="4" t="str">
        <f t="shared" si="1"/>
        <v>500 &amp; Below</v>
      </c>
    </row>
    <row r="1464" ht="15.75" customHeight="1">
      <c r="A1464" s="4" t="s">
        <v>55</v>
      </c>
      <c r="B1464" s="7">
        <v>45874.0</v>
      </c>
      <c r="C1464" s="4" t="s">
        <v>474</v>
      </c>
      <c r="D1464" s="4" t="s">
        <v>39</v>
      </c>
      <c r="E1464" s="8">
        <v>20.0</v>
      </c>
      <c r="F1464" s="4" t="str">
        <f t="shared" si="1"/>
        <v>500 &amp; Below</v>
      </c>
    </row>
    <row r="1465" ht="15.75" customHeight="1">
      <c r="A1465" s="4" t="s">
        <v>55</v>
      </c>
      <c r="B1465" s="7">
        <v>45875.0</v>
      </c>
      <c r="C1465" s="4" t="s">
        <v>474</v>
      </c>
      <c r="D1465" s="4" t="s">
        <v>3218</v>
      </c>
      <c r="E1465" s="8">
        <v>172.0</v>
      </c>
      <c r="F1465" s="4" t="str">
        <f t="shared" si="1"/>
        <v>500 &amp; Below</v>
      </c>
    </row>
    <row r="1466" ht="15.75" customHeight="1">
      <c r="A1466" s="4" t="s">
        <v>55</v>
      </c>
      <c r="B1466" s="7">
        <v>45875.0</v>
      </c>
      <c r="C1466" s="4" t="s">
        <v>474</v>
      </c>
      <c r="D1466" s="4" t="s">
        <v>25</v>
      </c>
      <c r="E1466" s="8">
        <v>20.0</v>
      </c>
      <c r="F1466" s="4" t="str">
        <f t="shared" si="1"/>
        <v>500 &amp; Below</v>
      </c>
    </row>
    <row r="1467" ht="15.75" customHeight="1">
      <c r="A1467" s="4" t="s">
        <v>55</v>
      </c>
      <c r="B1467" s="7">
        <v>45875.0</v>
      </c>
      <c r="C1467" s="4" t="s">
        <v>474</v>
      </c>
      <c r="D1467" s="4" t="s">
        <v>41</v>
      </c>
      <c r="E1467" s="8">
        <v>194.0</v>
      </c>
      <c r="F1467" s="4" t="str">
        <f t="shared" si="1"/>
        <v>500 &amp; Below</v>
      </c>
    </row>
    <row r="1468" ht="15.75" customHeight="1">
      <c r="A1468" s="4" t="s">
        <v>55</v>
      </c>
      <c r="B1468" s="7">
        <v>45875.0</v>
      </c>
      <c r="C1468" s="4" t="s">
        <v>474</v>
      </c>
      <c r="D1468" s="4" t="s">
        <v>45</v>
      </c>
      <c r="E1468" s="8">
        <v>1266.0</v>
      </c>
      <c r="F1468" s="4" t="str">
        <f t="shared" si="1"/>
        <v>Above 500</v>
      </c>
    </row>
    <row r="1469" ht="15.75" customHeight="1">
      <c r="A1469" s="4" t="s">
        <v>55</v>
      </c>
      <c r="B1469" s="7">
        <v>45876.0</v>
      </c>
      <c r="C1469" s="4" t="s">
        <v>474</v>
      </c>
      <c r="D1469" s="4" t="s">
        <v>39</v>
      </c>
      <c r="E1469" s="8">
        <v>20.0</v>
      </c>
      <c r="F1469" s="4" t="str">
        <f t="shared" si="1"/>
        <v>500 &amp; Below</v>
      </c>
    </row>
    <row r="1470" ht="15.75" customHeight="1">
      <c r="A1470" s="4" t="s">
        <v>55</v>
      </c>
      <c r="B1470" s="7">
        <v>45877.0</v>
      </c>
      <c r="C1470" s="4" t="s">
        <v>474</v>
      </c>
      <c r="D1470" s="4" t="s">
        <v>2597</v>
      </c>
      <c r="E1470" s="8">
        <v>1800.0</v>
      </c>
      <c r="F1470" s="4" t="str">
        <f t="shared" si="1"/>
        <v>Above 500</v>
      </c>
    </row>
    <row r="1471" ht="15.75" customHeight="1">
      <c r="A1471" s="4" t="s">
        <v>55</v>
      </c>
      <c r="B1471" s="7">
        <v>45877.0</v>
      </c>
      <c r="C1471" s="4" t="s">
        <v>474</v>
      </c>
      <c r="D1471" s="4" t="s">
        <v>119</v>
      </c>
      <c r="E1471" s="8">
        <v>20.0</v>
      </c>
      <c r="F1471" s="4" t="str">
        <f t="shared" si="1"/>
        <v>500 &amp; Below</v>
      </c>
    </row>
    <row r="1472" ht="15.75" customHeight="1">
      <c r="A1472" s="4" t="s">
        <v>55</v>
      </c>
      <c r="B1472" s="7">
        <v>45877.0</v>
      </c>
      <c r="C1472" s="4" t="s">
        <v>474</v>
      </c>
      <c r="D1472" s="4" t="s">
        <v>2478</v>
      </c>
      <c r="E1472" s="8">
        <v>70.0</v>
      </c>
      <c r="F1472" s="4" t="str">
        <f t="shared" si="1"/>
        <v>500 &amp; Below</v>
      </c>
    </row>
    <row r="1473" ht="15.75" customHeight="1">
      <c r="A1473" s="4" t="s">
        <v>55</v>
      </c>
      <c r="B1473" s="7">
        <v>45878.0</v>
      </c>
      <c r="C1473" s="4" t="s">
        <v>474</v>
      </c>
      <c r="D1473" s="4" t="s">
        <v>39</v>
      </c>
      <c r="E1473" s="8">
        <v>50.0</v>
      </c>
      <c r="F1473" s="4" t="str">
        <f t="shared" si="1"/>
        <v>500 &amp; Below</v>
      </c>
    </row>
    <row r="1474" ht="15.75" customHeight="1">
      <c r="A1474" s="4" t="s">
        <v>55</v>
      </c>
      <c r="B1474" s="7">
        <v>45878.0</v>
      </c>
      <c r="C1474" s="4" t="s">
        <v>474</v>
      </c>
      <c r="D1474" s="4" t="s">
        <v>3255</v>
      </c>
      <c r="E1474" s="8">
        <v>50.0</v>
      </c>
      <c r="F1474" s="4" t="str">
        <f t="shared" si="1"/>
        <v>500 &amp; Below</v>
      </c>
    </row>
    <row r="1475" ht="15.75" customHeight="1">
      <c r="A1475" s="4" t="s">
        <v>55</v>
      </c>
      <c r="B1475" s="7">
        <v>45878.0</v>
      </c>
      <c r="C1475" s="4" t="s">
        <v>474</v>
      </c>
      <c r="D1475" s="4" t="s">
        <v>24</v>
      </c>
      <c r="E1475" s="8">
        <v>20.0</v>
      </c>
      <c r="F1475" s="4" t="str">
        <f t="shared" si="1"/>
        <v>500 &amp; Below</v>
      </c>
    </row>
    <row r="1476" ht="15.75" customHeight="1">
      <c r="A1476" s="4" t="s">
        <v>55</v>
      </c>
      <c r="B1476" s="7">
        <v>45879.0</v>
      </c>
      <c r="C1476" s="4" t="s">
        <v>474</v>
      </c>
      <c r="D1476" s="4" t="s">
        <v>3218</v>
      </c>
      <c r="E1476" s="8">
        <v>80.0</v>
      </c>
      <c r="F1476" s="4" t="str">
        <f t="shared" si="1"/>
        <v>500 &amp; Below</v>
      </c>
    </row>
    <row r="1477" ht="15.75" customHeight="1">
      <c r="A1477" s="4" t="s">
        <v>55</v>
      </c>
      <c r="B1477" s="7">
        <v>45879.0</v>
      </c>
      <c r="C1477" s="4" t="s">
        <v>474</v>
      </c>
      <c r="D1477" s="4" t="s">
        <v>18</v>
      </c>
      <c r="E1477" s="8">
        <v>39.2</v>
      </c>
      <c r="F1477" s="4" t="str">
        <f t="shared" si="1"/>
        <v>500 &amp; Below</v>
      </c>
    </row>
    <row r="1478" ht="15.75" customHeight="1">
      <c r="A1478" s="4" t="s">
        <v>55</v>
      </c>
      <c r="B1478" s="7">
        <v>45879.0</v>
      </c>
      <c r="C1478" s="4" t="s">
        <v>474</v>
      </c>
      <c r="D1478" s="4" t="s">
        <v>3222</v>
      </c>
      <c r="E1478" s="8">
        <v>125.0</v>
      </c>
      <c r="F1478" s="4" t="str">
        <f t="shared" si="1"/>
        <v>500 &amp; Below</v>
      </c>
    </row>
    <row r="1479" ht="15.75" customHeight="1">
      <c r="A1479" s="4" t="s">
        <v>55</v>
      </c>
      <c r="B1479" s="7">
        <v>45879.0</v>
      </c>
      <c r="C1479" s="4" t="s">
        <v>474</v>
      </c>
      <c r="D1479" s="4" t="s">
        <v>107</v>
      </c>
      <c r="E1479" s="8">
        <v>10.0</v>
      </c>
      <c r="F1479" s="4" t="str">
        <f t="shared" si="1"/>
        <v>500 &amp; Below</v>
      </c>
    </row>
    <row r="1480" ht="15.75" customHeight="1">
      <c r="A1480" s="4" t="s">
        <v>55</v>
      </c>
      <c r="B1480" s="7">
        <v>45880.0</v>
      </c>
      <c r="C1480" s="4" t="s">
        <v>474</v>
      </c>
      <c r="D1480" s="4" t="s">
        <v>3218</v>
      </c>
      <c r="E1480" s="8">
        <v>225.0</v>
      </c>
      <c r="F1480" s="4" t="str">
        <f t="shared" si="1"/>
        <v>500 &amp; Below</v>
      </c>
    </row>
    <row r="1481" ht="15.75" customHeight="1">
      <c r="A1481" s="4" t="s">
        <v>55</v>
      </c>
      <c r="B1481" s="7">
        <v>45880.0</v>
      </c>
      <c r="C1481" s="4" t="s">
        <v>474</v>
      </c>
      <c r="D1481" s="4" t="s">
        <v>48</v>
      </c>
      <c r="E1481" s="8">
        <v>283.0</v>
      </c>
      <c r="F1481" s="4" t="str">
        <f t="shared" si="1"/>
        <v>500 &amp; Below</v>
      </c>
    </row>
    <row r="1482" ht="15.75" customHeight="1">
      <c r="A1482" s="4" t="s">
        <v>55</v>
      </c>
      <c r="B1482" s="7">
        <v>45880.0</v>
      </c>
      <c r="C1482" s="4" t="s">
        <v>474</v>
      </c>
      <c r="D1482" s="4" t="s">
        <v>3256</v>
      </c>
      <c r="E1482" s="8">
        <v>4000.0</v>
      </c>
      <c r="F1482" s="4" t="str">
        <f t="shared" si="1"/>
        <v>Above 500</v>
      </c>
    </row>
    <row r="1483" ht="15.75" customHeight="1">
      <c r="A1483" s="4" t="s">
        <v>55</v>
      </c>
      <c r="B1483" s="7">
        <v>45880.0</v>
      </c>
      <c r="C1483" s="4" t="s">
        <v>474</v>
      </c>
      <c r="D1483" s="4" t="s">
        <v>24</v>
      </c>
      <c r="E1483" s="8">
        <v>20.0</v>
      </c>
      <c r="F1483" s="4" t="str">
        <f t="shared" si="1"/>
        <v>500 &amp; Below</v>
      </c>
    </row>
    <row r="1484" ht="15.75" customHeight="1">
      <c r="A1484" s="4" t="s">
        <v>55</v>
      </c>
      <c r="B1484" s="7">
        <v>45881.0</v>
      </c>
      <c r="C1484" s="4" t="s">
        <v>474</v>
      </c>
      <c r="D1484" s="4" t="s">
        <v>3257</v>
      </c>
      <c r="E1484" s="8">
        <v>2300.0</v>
      </c>
      <c r="F1484" s="4" t="str">
        <f t="shared" si="1"/>
        <v>Above 500</v>
      </c>
    </row>
    <row r="1485" ht="15.75" customHeight="1">
      <c r="A1485" s="4" t="s">
        <v>55</v>
      </c>
      <c r="B1485" s="7">
        <v>45881.0</v>
      </c>
      <c r="C1485" s="4" t="s">
        <v>474</v>
      </c>
      <c r="D1485" s="4" t="s">
        <v>3258</v>
      </c>
      <c r="E1485" s="8">
        <v>280.0</v>
      </c>
      <c r="F1485" s="4" t="str">
        <f t="shared" si="1"/>
        <v>500 &amp; Below</v>
      </c>
    </row>
    <row r="1486" ht="15.75" customHeight="1">
      <c r="A1486" s="4" t="s">
        <v>55</v>
      </c>
      <c r="B1486" s="7">
        <v>45881.0</v>
      </c>
      <c r="C1486" s="4" t="s">
        <v>474</v>
      </c>
      <c r="D1486" s="4" t="s">
        <v>3259</v>
      </c>
      <c r="E1486" s="8">
        <v>16.0</v>
      </c>
      <c r="F1486" s="4" t="str">
        <f t="shared" si="1"/>
        <v>500 &amp; Below</v>
      </c>
    </row>
    <row r="1487" ht="15.75" customHeight="1">
      <c r="A1487" s="4" t="s">
        <v>55</v>
      </c>
      <c r="B1487" s="7">
        <v>45881.0</v>
      </c>
      <c r="C1487" s="4" t="s">
        <v>474</v>
      </c>
      <c r="D1487" s="4" t="s">
        <v>47</v>
      </c>
      <c r="E1487" s="8">
        <v>40.0</v>
      </c>
      <c r="F1487" s="4" t="str">
        <f t="shared" si="1"/>
        <v>500 &amp; Below</v>
      </c>
    </row>
    <row r="1488" ht="15.75" customHeight="1">
      <c r="A1488" s="4" t="s">
        <v>55</v>
      </c>
      <c r="B1488" s="7">
        <v>45881.0</v>
      </c>
      <c r="C1488" s="4" t="s">
        <v>474</v>
      </c>
      <c r="D1488" s="4" t="s">
        <v>121</v>
      </c>
      <c r="E1488" s="8">
        <v>320.0</v>
      </c>
      <c r="F1488" s="4" t="str">
        <f t="shared" si="1"/>
        <v>500 &amp; Below</v>
      </c>
    </row>
    <row r="1489" ht="15.75" customHeight="1">
      <c r="A1489" s="4" t="s">
        <v>55</v>
      </c>
      <c r="B1489" s="7">
        <v>45881.0</v>
      </c>
      <c r="C1489" s="4" t="s">
        <v>474</v>
      </c>
      <c r="D1489" s="4" t="s">
        <v>102</v>
      </c>
      <c r="E1489" s="8">
        <v>10.0</v>
      </c>
      <c r="F1489" s="4" t="str">
        <f t="shared" si="1"/>
        <v>500 &amp; Below</v>
      </c>
    </row>
    <row r="1490" ht="15.75" customHeight="1">
      <c r="A1490" s="4" t="s">
        <v>55</v>
      </c>
      <c r="B1490" s="7">
        <v>45881.0</v>
      </c>
      <c r="C1490" s="4" t="s">
        <v>474</v>
      </c>
      <c r="D1490" s="4" t="s">
        <v>36</v>
      </c>
      <c r="E1490" s="8">
        <v>2315.0</v>
      </c>
      <c r="F1490" s="4" t="str">
        <f t="shared" si="1"/>
        <v>Above 500</v>
      </c>
    </row>
    <row r="1491" ht="15.75" customHeight="1">
      <c r="A1491" s="4" t="s">
        <v>55</v>
      </c>
      <c r="B1491" s="7">
        <v>45882.0</v>
      </c>
      <c r="C1491" s="4" t="s">
        <v>474</v>
      </c>
      <c r="D1491" s="4" t="s">
        <v>106</v>
      </c>
      <c r="E1491" s="8">
        <v>20.0</v>
      </c>
      <c r="F1491" s="4" t="str">
        <f t="shared" si="1"/>
        <v>500 &amp; Below</v>
      </c>
    </row>
    <row r="1492" ht="15.75" customHeight="1">
      <c r="A1492" s="4" t="s">
        <v>55</v>
      </c>
      <c r="B1492" s="7">
        <v>45884.0</v>
      </c>
      <c r="C1492" s="4" t="s">
        <v>474</v>
      </c>
      <c r="D1492" s="4" t="s">
        <v>3218</v>
      </c>
      <c r="E1492" s="8">
        <v>99.0</v>
      </c>
      <c r="F1492" s="4" t="str">
        <f t="shared" si="1"/>
        <v>500 &amp; Below</v>
      </c>
    </row>
    <row r="1493" ht="15.75" customHeight="1">
      <c r="A1493" s="4" t="s">
        <v>55</v>
      </c>
      <c r="B1493" s="7">
        <v>45884.0</v>
      </c>
      <c r="C1493" s="4" t="s">
        <v>474</v>
      </c>
      <c r="D1493" s="4" t="s">
        <v>36</v>
      </c>
      <c r="E1493" s="8">
        <v>1589.0</v>
      </c>
      <c r="F1493" s="4" t="str">
        <f t="shared" si="1"/>
        <v>Above 500</v>
      </c>
    </row>
    <row r="1494" ht="15.75" customHeight="1">
      <c r="A1494" s="4" t="s">
        <v>55</v>
      </c>
      <c r="B1494" s="7">
        <v>45884.0</v>
      </c>
      <c r="C1494" s="4" t="s">
        <v>474</v>
      </c>
      <c r="D1494" s="4" t="s">
        <v>36</v>
      </c>
      <c r="E1494" s="8">
        <v>2678.0</v>
      </c>
      <c r="F1494" s="4" t="str">
        <f t="shared" si="1"/>
        <v>Above 500</v>
      </c>
    </row>
    <row r="1495" ht="15.75" customHeight="1">
      <c r="A1495" s="4" t="s">
        <v>55</v>
      </c>
      <c r="B1495" s="7">
        <v>45886.0</v>
      </c>
      <c r="C1495" s="4" t="s">
        <v>474</v>
      </c>
      <c r="D1495" s="4" t="s">
        <v>39</v>
      </c>
      <c r="E1495" s="8">
        <v>20.0</v>
      </c>
      <c r="F1495" s="4" t="str">
        <f t="shared" si="1"/>
        <v>500 &amp; Below</v>
      </c>
    </row>
    <row r="1496" ht="15.75" customHeight="1">
      <c r="A1496" s="4" t="s">
        <v>55</v>
      </c>
      <c r="B1496" s="7">
        <v>45887.0</v>
      </c>
      <c r="C1496" s="4" t="s">
        <v>474</v>
      </c>
      <c r="D1496" s="4" t="s">
        <v>3218</v>
      </c>
      <c r="E1496" s="8">
        <v>120.0</v>
      </c>
      <c r="F1496" s="4" t="str">
        <f t="shared" si="1"/>
        <v>500 &amp; Below</v>
      </c>
    </row>
    <row r="1497" ht="15.75" customHeight="1">
      <c r="A1497" s="4" t="s">
        <v>55</v>
      </c>
      <c r="B1497" s="7">
        <v>45887.0</v>
      </c>
      <c r="C1497" s="4" t="s">
        <v>474</v>
      </c>
      <c r="D1497" s="4" t="s">
        <v>1517</v>
      </c>
      <c r="E1497" s="8">
        <v>97.0</v>
      </c>
      <c r="F1497" s="4" t="str">
        <f t="shared" si="1"/>
        <v>500 &amp; Below</v>
      </c>
    </row>
    <row r="1498" ht="15.75" customHeight="1">
      <c r="A1498" s="4" t="s">
        <v>55</v>
      </c>
      <c r="B1498" s="7">
        <v>45887.0</v>
      </c>
      <c r="C1498" s="4" t="s">
        <v>474</v>
      </c>
      <c r="D1498" s="4" t="s">
        <v>1372</v>
      </c>
      <c r="E1498" s="8">
        <v>20.0</v>
      </c>
      <c r="F1498" s="4" t="str">
        <f t="shared" si="1"/>
        <v>500 &amp; Below</v>
      </c>
    </row>
    <row r="1499" ht="15.75" customHeight="1">
      <c r="A1499" s="4" t="s">
        <v>55</v>
      </c>
      <c r="B1499" s="7">
        <v>45887.0</v>
      </c>
      <c r="C1499" s="4" t="s">
        <v>474</v>
      </c>
      <c r="D1499" s="4" t="s">
        <v>106</v>
      </c>
      <c r="E1499" s="8">
        <v>10.0</v>
      </c>
      <c r="F1499" s="4" t="str">
        <f t="shared" si="1"/>
        <v>500 &amp; Below</v>
      </c>
    </row>
    <row r="1500" ht="15.75" customHeight="1">
      <c r="A1500" s="4" t="s">
        <v>55</v>
      </c>
      <c r="B1500" s="7">
        <v>45888.0</v>
      </c>
      <c r="C1500" s="4" t="s">
        <v>474</v>
      </c>
      <c r="D1500" s="4" t="s">
        <v>2519</v>
      </c>
      <c r="E1500" s="8">
        <v>1.0</v>
      </c>
      <c r="F1500" s="4" t="str">
        <f t="shared" si="1"/>
        <v>500 &amp; Below</v>
      </c>
    </row>
    <row r="1501" ht="15.75" customHeight="1">
      <c r="A1501" s="4" t="s">
        <v>55</v>
      </c>
      <c r="B1501" s="7">
        <v>45889.0</v>
      </c>
      <c r="C1501" s="4" t="s">
        <v>474</v>
      </c>
      <c r="D1501" s="4" t="s">
        <v>33</v>
      </c>
      <c r="E1501" s="8">
        <v>145.0</v>
      </c>
      <c r="F1501" s="4" t="str">
        <f t="shared" si="1"/>
        <v>500 &amp; Below</v>
      </c>
    </row>
    <row r="1502" ht="15.75" customHeight="1">
      <c r="A1502" s="4" t="s">
        <v>55</v>
      </c>
      <c r="B1502" s="7">
        <v>45889.0</v>
      </c>
      <c r="C1502" s="4" t="s">
        <v>474</v>
      </c>
      <c r="D1502" s="4" t="s">
        <v>2519</v>
      </c>
      <c r="E1502" s="8">
        <v>166.0</v>
      </c>
      <c r="F1502" s="4" t="str">
        <f t="shared" si="1"/>
        <v>500 &amp; Below</v>
      </c>
    </row>
    <row r="1503" ht="15.75" customHeight="1">
      <c r="A1503" s="4" t="s">
        <v>55</v>
      </c>
      <c r="B1503" s="7">
        <v>45890.0</v>
      </c>
      <c r="C1503" s="4" t="s">
        <v>474</v>
      </c>
      <c r="D1503" s="4" t="s">
        <v>2774</v>
      </c>
      <c r="E1503" s="8">
        <v>300.0</v>
      </c>
      <c r="F1503" s="4" t="str">
        <f t="shared" si="1"/>
        <v>500 &amp; Below</v>
      </c>
    </row>
    <row r="1504" ht="15.75" customHeight="1">
      <c r="A1504" s="4" t="s">
        <v>55</v>
      </c>
      <c r="B1504" s="7">
        <v>45890.0</v>
      </c>
      <c r="C1504" s="4" t="s">
        <v>474</v>
      </c>
      <c r="D1504" s="4" t="s">
        <v>3260</v>
      </c>
      <c r="E1504" s="8">
        <v>252.0</v>
      </c>
      <c r="F1504" s="4" t="str">
        <f t="shared" si="1"/>
        <v>500 &amp; Below</v>
      </c>
    </row>
    <row r="1505" ht="15.75" customHeight="1">
      <c r="A1505" s="4" t="s">
        <v>55</v>
      </c>
      <c r="B1505" s="7">
        <v>45890.0</v>
      </c>
      <c r="C1505" s="4" t="s">
        <v>474</v>
      </c>
      <c r="D1505" s="4" t="s">
        <v>3254</v>
      </c>
      <c r="E1505" s="8">
        <v>140.0</v>
      </c>
      <c r="F1505" s="4" t="str">
        <f t="shared" si="1"/>
        <v>500 &amp; Below</v>
      </c>
    </row>
    <row r="1506" ht="15.75" customHeight="1">
      <c r="A1506" s="4" t="s">
        <v>55</v>
      </c>
      <c r="B1506" s="7">
        <v>45890.0</v>
      </c>
      <c r="C1506" s="4" t="s">
        <v>474</v>
      </c>
      <c r="D1506" s="4" t="s">
        <v>3261</v>
      </c>
      <c r="E1506" s="8">
        <v>50.0</v>
      </c>
      <c r="F1506" s="4" t="str">
        <f t="shared" si="1"/>
        <v>500 &amp; Below</v>
      </c>
    </row>
    <row r="1507" ht="15.75" customHeight="1">
      <c r="A1507" s="4" t="s">
        <v>55</v>
      </c>
      <c r="B1507" s="7">
        <v>45890.0</v>
      </c>
      <c r="C1507" s="4" t="s">
        <v>474</v>
      </c>
      <c r="D1507" s="4" t="s">
        <v>3262</v>
      </c>
      <c r="E1507" s="8">
        <v>80.0</v>
      </c>
      <c r="F1507" s="4" t="str">
        <f t="shared" si="1"/>
        <v>500 &amp; Below</v>
      </c>
    </row>
    <row r="1508" ht="15.75" customHeight="1">
      <c r="A1508" s="4" t="s">
        <v>55</v>
      </c>
      <c r="B1508" s="7">
        <v>45891.0</v>
      </c>
      <c r="C1508" s="4" t="s">
        <v>474</v>
      </c>
      <c r="D1508" s="4" t="s">
        <v>24</v>
      </c>
      <c r="E1508" s="8">
        <v>20.0</v>
      </c>
      <c r="F1508" s="4" t="str">
        <f t="shared" si="1"/>
        <v>500 &amp; Below</v>
      </c>
    </row>
    <row r="1509" ht="15.75" customHeight="1">
      <c r="A1509" s="4" t="s">
        <v>55</v>
      </c>
      <c r="B1509" s="7">
        <v>45891.0</v>
      </c>
      <c r="C1509" s="4" t="s">
        <v>474</v>
      </c>
      <c r="D1509" s="4" t="s">
        <v>2928</v>
      </c>
      <c r="E1509" s="8">
        <v>700.0</v>
      </c>
      <c r="F1509" s="4" t="str">
        <f t="shared" si="1"/>
        <v>Above 500</v>
      </c>
    </row>
    <row r="1510" ht="15.75" customHeight="1">
      <c r="A1510" s="4" t="s">
        <v>55</v>
      </c>
      <c r="B1510" s="7">
        <v>45892.0</v>
      </c>
      <c r="C1510" s="4" t="s">
        <v>474</v>
      </c>
      <c r="D1510" s="4" t="s">
        <v>39</v>
      </c>
      <c r="E1510" s="8">
        <v>10.0</v>
      </c>
      <c r="F1510" s="4" t="str">
        <f t="shared" si="1"/>
        <v>500 &amp; Below</v>
      </c>
    </row>
    <row r="1511" ht="15.75" customHeight="1">
      <c r="A1511" s="4" t="s">
        <v>55</v>
      </c>
      <c r="B1511" s="7">
        <v>45892.0</v>
      </c>
      <c r="C1511" s="4" t="s">
        <v>474</v>
      </c>
      <c r="D1511" s="4" t="s">
        <v>3263</v>
      </c>
      <c r="E1511" s="8">
        <v>30.0</v>
      </c>
      <c r="F1511" s="4" t="str">
        <f t="shared" si="1"/>
        <v>500 &amp; Below</v>
      </c>
    </row>
    <row r="1512" ht="15.75" customHeight="1">
      <c r="A1512" s="4" t="s">
        <v>55</v>
      </c>
      <c r="B1512" s="7">
        <v>45892.0</v>
      </c>
      <c r="C1512" s="4" t="s">
        <v>474</v>
      </c>
      <c r="D1512" s="4" t="s">
        <v>24</v>
      </c>
      <c r="E1512" s="8">
        <v>40.0</v>
      </c>
      <c r="F1512" s="4" t="str">
        <f t="shared" si="1"/>
        <v>500 &amp; Below</v>
      </c>
    </row>
    <row r="1513" ht="15.75" customHeight="1">
      <c r="A1513" s="4" t="s">
        <v>55</v>
      </c>
      <c r="B1513" s="7">
        <v>45893.0</v>
      </c>
      <c r="C1513" s="4" t="s">
        <v>474</v>
      </c>
      <c r="D1513" s="4" t="s">
        <v>3218</v>
      </c>
      <c r="E1513" s="8">
        <v>184.0</v>
      </c>
      <c r="F1513" s="4" t="str">
        <f t="shared" si="1"/>
        <v>500 &amp; Below</v>
      </c>
    </row>
    <row r="1514" ht="15.75" customHeight="1">
      <c r="A1514" s="4" t="s">
        <v>55</v>
      </c>
      <c r="B1514" s="7">
        <v>45894.0</v>
      </c>
      <c r="C1514" s="4" t="s">
        <v>474</v>
      </c>
      <c r="D1514" s="4" t="s">
        <v>39</v>
      </c>
      <c r="E1514" s="8">
        <v>20.0</v>
      </c>
      <c r="F1514" s="4" t="str">
        <f t="shared" si="1"/>
        <v>500 &amp; Below</v>
      </c>
    </row>
    <row r="1515" ht="15.75" customHeight="1">
      <c r="A1515" s="4" t="s">
        <v>55</v>
      </c>
      <c r="B1515" s="7">
        <v>45894.0</v>
      </c>
      <c r="C1515" s="4" t="s">
        <v>474</v>
      </c>
      <c r="D1515" s="4" t="s">
        <v>355</v>
      </c>
      <c r="E1515" s="8">
        <v>100.0</v>
      </c>
      <c r="F1515" s="4" t="str">
        <f t="shared" si="1"/>
        <v>500 &amp; Below</v>
      </c>
    </row>
    <row r="1516" ht="15.75" customHeight="1">
      <c r="A1516" s="4" t="s">
        <v>55</v>
      </c>
      <c r="B1516" s="7">
        <v>45894.0</v>
      </c>
      <c r="C1516" s="4" t="s">
        <v>474</v>
      </c>
      <c r="D1516" s="4" t="s">
        <v>106</v>
      </c>
      <c r="E1516" s="8">
        <v>20.0</v>
      </c>
      <c r="F1516" s="4" t="str">
        <f t="shared" si="1"/>
        <v>500 &amp; Below</v>
      </c>
    </row>
    <row r="1517" ht="15.75" customHeight="1">
      <c r="A1517" s="4" t="s">
        <v>55</v>
      </c>
      <c r="B1517" s="7">
        <v>45895.0</v>
      </c>
      <c r="C1517" s="4" t="s">
        <v>474</v>
      </c>
      <c r="D1517" s="4" t="s">
        <v>970</v>
      </c>
      <c r="E1517" s="8">
        <v>10.0</v>
      </c>
      <c r="F1517" s="4" t="str">
        <f t="shared" si="1"/>
        <v>500 &amp; Below</v>
      </c>
    </row>
    <row r="1518" ht="15.75" customHeight="1">
      <c r="A1518" s="4" t="s">
        <v>55</v>
      </c>
      <c r="B1518" s="7">
        <v>45895.0</v>
      </c>
      <c r="C1518" s="4" t="s">
        <v>474</v>
      </c>
      <c r="D1518" s="4" t="s">
        <v>3218</v>
      </c>
      <c r="E1518" s="8">
        <v>204.0</v>
      </c>
      <c r="F1518" s="4" t="str">
        <f t="shared" si="1"/>
        <v>500 &amp; Below</v>
      </c>
    </row>
    <row r="1519" ht="15.75" customHeight="1">
      <c r="A1519" s="4" t="s">
        <v>55</v>
      </c>
      <c r="B1519" s="7">
        <v>45895.0</v>
      </c>
      <c r="C1519" s="4" t="s">
        <v>474</v>
      </c>
      <c r="D1519" s="4" t="s">
        <v>106</v>
      </c>
      <c r="E1519" s="8">
        <v>10.0</v>
      </c>
      <c r="F1519" s="4" t="str">
        <f t="shared" si="1"/>
        <v>500 &amp; Below</v>
      </c>
    </row>
    <row r="1520" ht="15.75" customHeight="1">
      <c r="A1520" s="4" t="s">
        <v>55</v>
      </c>
      <c r="B1520" s="7">
        <v>45895.0</v>
      </c>
      <c r="C1520" s="4" t="s">
        <v>474</v>
      </c>
      <c r="D1520" s="4" t="s">
        <v>39</v>
      </c>
      <c r="E1520" s="8">
        <v>20.0</v>
      </c>
      <c r="F1520" s="4" t="str">
        <f t="shared" si="1"/>
        <v>500 &amp; Below</v>
      </c>
    </row>
    <row r="1521" ht="15.75" customHeight="1">
      <c r="A1521" s="4" t="s">
        <v>55</v>
      </c>
      <c r="B1521" s="7">
        <v>45897.0</v>
      </c>
      <c r="C1521" s="4" t="s">
        <v>474</v>
      </c>
      <c r="D1521" s="4" t="s">
        <v>3230</v>
      </c>
      <c r="E1521" s="8">
        <v>735.0</v>
      </c>
      <c r="F1521" s="4" t="str">
        <f t="shared" si="1"/>
        <v>Above 500</v>
      </c>
    </row>
    <row r="1522" ht="15.75" customHeight="1">
      <c r="A1522" s="4" t="s">
        <v>55</v>
      </c>
      <c r="B1522" s="7">
        <v>45897.0</v>
      </c>
      <c r="C1522" s="4" t="s">
        <v>474</v>
      </c>
      <c r="D1522" s="4" t="s">
        <v>956</v>
      </c>
      <c r="E1522" s="8">
        <v>27.0</v>
      </c>
      <c r="F1522" s="4" t="str">
        <f t="shared" si="1"/>
        <v>500 &amp; Below</v>
      </c>
    </row>
    <row r="1523" ht="15.75" customHeight="1">
      <c r="A1523" s="4" t="s">
        <v>55</v>
      </c>
      <c r="B1523" s="7">
        <v>45898.0</v>
      </c>
      <c r="C1523" s="4" t="s">
        <v>474</v>
      </c>
      <c r="D1523" s="4" t="s">
        <v>3218</v>
      </c>
      <c r="E1523" s="8">
        <v>136.0</v>
      </c>
      <c r="F1523" s="4" t="str">
        <f t="shared" si="1"/>
        <v>500 &amp; Below</v>
      </c>
    </row>
    <row r="1524" ht="15.75" customHeight="1">
      <c r="A1524" s="4" t="s">
        <v>55</v>
      </c>
      <c r="B1524" s="7">
        <v>45898.0</v>
      </c>
      <c r="C1524" s="4" t="s">
        <v>474</v>
      </c>
      <c r="D1524" s="4" t="s">
        <v>826</v>
      </c>
      <c r="E1524" s="8">
        <v>260.0</v>
      </c>
      <c r="F1524" s="4" t="str">
        <f t="shared" si="1"/>
        <v>500 &amp; Below</v>
      </c>
    </row>
    <row r="1525" ht="15.75" customHeight="1">
      <c r="A1525" s="4" t="s">
        <v>55</v>
      </c>
      <c r="B1525" s="7">
        <v>45900.0</v>
      </c>
      <c r="C1525" s="4" t="s">
        <v>474</v>
      </c>
      <c r="D1525" s="4" t="s">
        <v>2565</v>
      </c>
      <c r="E1525" s="8">
        <v>299.0</v>
      </c>
      <c r="F1525" s="4" t="str">
        <f t="shared" si="1"/>
        <v>500 &amp; Below</v>
      </c>
    </row>
    <row r="1526" ht="15.75" customHeight="1">
      <c r="A1526" s="4" t="s">
        <v>55</v>
      </c>
      <c r="B1526" s="7">
        <v>45900.0</v>
      </c>
      <c r="C1526" s="4" t="s">
        <v>474</v>
      </c>
      <c r="D1526" s="4" t="s">
        <v>37</v>
      </c>
      <c r="E1526" s="8">
        <v>349.0</v>
      </c>
      <c r="F1526" s="4" t="str">
        <f t="shared" si="1"/>
        <v>500 &amp; Below</v>
      </c>
    </row>
    <row r="1527" ht="15.75" customHeight="1">
      <c r="A1527" s="4" t="s">
        <v>55</v>
      </c>
      <c r="B1527" s="7">
        <v>45900.0</v>
      </c>
      <c r="C1527" s="4" t="s">
        <v>474</v>
      </c>
      <c r="D1527" s="4" t="s">
        <v>106</v>
      </c>
      <c r="E1527" s="8">
        <v>20.0</v>
      </c>
      <c r="F1527" s="4" t="str">
        <f t="shared" si="1"/>
        <v>500 &amp; Below</v>
      </c>
    </row>
    <row r="1528" ht="15.75" customHeight="1">
      <c r="A1528" s="4" t="s">
        <v>55</v>
      </c>
      <c r="B1528" s="7">
        <v>45901.0</v>
      </c>
      <c r="C1528" s="4" t="s">
        <v>536</v>
      </c>
      <c r="D1528" s="4" t="s">
        <v>3250</v>
      </c>
      <c r="E1528" s="8">
        <v>210.0</v>
      </c>
      <c r="F1528" s="4" t="str">
        <f t="shared" si="1"/>
        <v>500 &amp; Below</v>
      </c>
    </row>
    <row r="1529" ht="15.75" customHeight="1">
      <c r="A1529" s="4" t="s">
        <v>55</v>
      </c>
      <c r="B1529" s="7">
        <v>45901.0</v>
      </c>
      <c r="C1529" s="4" t="s">
        <v>536</v>
      </c>
      <c r="D1529" s="4" t="s">
        <v>3264</v>
      </c>
      <c r="E1529" s="8">
        <v>20.0</v>
      </c>
      <c r="F1529" s="4" t="str">
        <f t="shared" si="1"/>
        <v>500 &amp; Below</v>
      </c>
    </row>
    <row r="1530" ht="15.75" customHeight="1">
      <c r="A1530" s="4" t="s">
        <v>55</v>
      </c>
      <c r="B1530" s="7">
        <v>45901.0</v>
      </c>
      <c r="C1530" s="4" t="s">
        <v>536</v>
      </c>
      <c r="D1530" s="4" t="s">
        <v>42</v>
      </c>
      <c r="E1530" s="8">
        <v>3000.0</v>
      </c>
      <c r="F1530" s="4" t="str">
        <f t="shared" si="1"/>
        <v>Above 500</v>
      </c>
    </row>
    <row r="1531" ht="15.75" customHeight="1">
      <c r="A1531" s="4" t="s">
        <v>55</v>
      </c>
      <c r="B1531" s="7">
        <v>45902.0</v>
      </c>
      <c r="C1531" s="4" t="s">
        <v>536</v>
      </c>
      <c r="D1531" s="4" t="s">
        <v>39</v>
      </c>
      <c r="E1531" s="8">
        <v>15.0</v>
      </c>
      <c r="F1531" s="4" t="str">
        <f t="shared" si="1"/>
        <v>500 &amp; Below</v>
      </c>
    </row>
    <row r="1532" ht="15.75" customHeight="1">
      <c r="A1532" s="4" t="s">
        <v>55</v>
      </c>
      <c r="B1532" s="7">
        <v>45903.0</v>
      </c>
      <c r="C1532" s="4" t="s">
        <v>536</v>
      </c>
      <c r="D1532" s="4" t="s">
        <v>41</v>
      </c>
      <c r="E1532" s="8">
        <v>194.0</v>
      </c>
      <c r="F1532" s="4" t="str">
        <f t="shared" si="1"/>
        <v>500 &amp; Below</v>
      </c>
    </row>
    <row r="1533" ht="15.75" customHeight="1">
      <c r="A1533" s="4" t="s">
        <v>55</v>
      </c>
      <c r="B1533" s="7">
        <v>45903.0</v>
      </c>
      <c r="C1533" s="4" t="s">
        <v>536</v>
      </c>
      <c r="D1533" s="4" t="s">
        <v>103</v>
      </c>
      <c r="E1533" s="8">
        <v>320.0</v>
      </c>
      <c r="F1533" s="4" t="str">
        <f t="shared" si="1"/>
        <v>500 &amp; Below</v>
      </c>
    </row>
    <row r="1534" ht="15.75" customHeight="1">
      <c r="A1534" s="4" t="s">
        <v>55</v>
      </c>
      <c r="B1534" s="7">
        <v>45903.0</v>
      </c>
      <c r="C1534" s="4" t="s">
        <v>536</v>
      </c>
      <c r="D1534" s="4" t="s">
        <v>1517</v>
      </c>
      <c r="E1534" s="8">
        <v>30.0</v>
      </c>
      <c r="F1534" s="4" t="str">
        <f t="shared" si="1"/>
        <v>500 &amp; Below</v>
      </c>
    </row>
    <row r="1535" ht="15.75" customHeight="1">
      <c r="A1535" s="4" t="s">
        <v>55</v>
      </c>
      <c r="B1535" s="7">
        <v>45903.0</v>
      </c>
      <c r="C1535" s="4" t="s">
        <v>536</v>
      </c>
      <c r="D1535" s="4" t="s">
        <v>1698</v>
      </c>
      <c r="E1535" s="8">
        <v>11.88</v>
      </c>
      <c r="F1535" s="4" t="str">
        <f t="shared" si="1"/>
        <v>500 &amp; Below</v>
      </c>
    </row>
    <row r="1536" ht="15.75" customHeight="1">
      <c r="A1536" s="4" t="s">
        <v>55</v>
      </c>
      <c r="B1536" s="7">
        <v>45904.0</v>
      </c>
      <c r="C1536" s="4" t="s">
        <v>536</v>
      </c>
      <c r="D1536" s="4" t="s">
        <v>39</v>
      </c>
      <c r="E1536" s="8">
        <v>5.0</v>
      </c>
      <c r="F1536" s="4" t="str">
        <f t="shared" si="1"/>
        <v>500 &amp; Below</v>
      </c>
    </row>
    <row r="1537" ht="15.75" customHeight="1">
      <c r="A1537" s="4" t="s">
        <v>55</v>
      </c>
      <c r="B1537" s="7">
        <v>45904.0</v>
      </c>
      <c r="C1537" s="4" t="s">
        <v>536</v>
      </c>
      <c r="D1537" s="4" t="s">
        <v>3265</v>
      </c>
      <c r="E1537" s="8">
        <v>155.0</v>
      </c>
      <c r="F1537" s="4" t="str">
        <f t="shared" si="1"/>
        <v>500 &amp; Below</v>
      </c>
    </row>
    <row r="1538" ht="15.75" customHeight="1">
      <c r="A1538" s="4" t="s">
        <v>55</v>
      </c>
      <c r="B1538" s="7">
        <v>45904.0</v>
      </c>
      <c r="C1538" s="4" t="s">
        <v>536</v>
      </c>
      <c r="D1538" s="4" t="s">
        <v>68</v>
      </c>
      <c r="E1538" s="8">
        <v>20.0</v>
      </c>
      <c r="F1538" s="4" t="str">
        <f t="shared" si="1"/>
        <v>500 &amp; Below</v>
      </c>
    </row>
    <row r="1539" ht="15.75" customHeight="1">
      <c r="A1539" s="4" t="s">
        <v>55</v>
      </c>
      <c r="B1539" s="7">
        <v>45904.0</v>
      </c>
      <c r="C1539" s="4" t="s">
        <v>536</v>
      </c>
      <c r="D1539" s="4" t="s">
        <v>357</v>
      </c>
      <c r="E1539" s="8">
        <v>15.0</v>
      </c>
      <c r="F1539" s="4" t="str">
        <f t="shared" si="1"/>
        <v>500 &amp; Below</v>
      </c>
    </row>
    <row r="1540" ht="15.75" customHeight="1">
      <c r="A1540" s="4" t="s">
        <v>55</v>
      </c>
      <c r="B1540" s="7">
        <v>45905.0</v>
      </c>
      <c r="C1540" s="4" t="s">
        <v>536</v>
      </c>
      <c r="D1540" s="4" t="s">
        <v>1638</v>
      </c>
      <c r="E1540" s="8">
        <v>735.0</v>
      </c>
      <c r="F1540" s="4" t="str">
        <f t="shared" si="1"/>
        <v>Above 500</v>
      </c>
    </row>
    <row r="1541" ht="15.75" customHeight="1">
      <c r="A1541" s="4" t="s">
        <v>55</v>
      </c>
      <c r="B1541" s="7">
        <v>45906.0</v>
      </c>
      <c r="C1541" s="4" t="s">
        <v>536</v>
      </c>
      <c r="D1541" s="4" t="s">
        <v>106</v>
      </c>
      <c r="E1541" s="8">
        <v>20.0</v>
      </c>
      <c r="F1541" s="4" t="str">
        <f t="shared" si="1"/>
        <v>500 &amp; Below</v>
      </c>
    </row>
    <row r="1542" ht="15.75" customHeight="1">
      <c r="A1542" s="4" t="s">
        <v>55</v>
      </c>
      <c r="B1542" s="7">
        <v>45906.0</v>
      </c>
      <c r="C1542" s="4" t="s">
        <v>536</v>
      </c>
      <c r="D1542" s="4" t="s">
        <v>106</v>
      </c>
      <c r="E1542" s="8">
        <v>100.0</v>
      </c>
      <c r="F1542" s="4" t="str">
        <f t="shared" si="1"/>
        <v>500 &amp; Below</v>
      </c>
    </row>
    <row r="1543" ht="15.75" customHeight="1">
      <c r="A1543" s="4" t="s">
        <v>55</v>
      </c>
      <c r="B1543" s="7">
        <v>45906.0</v>
      </c>
      <c r="C1543" s="4" t="s">
        <v>536</v>
      </c>
      <c r="D1543" s="4" t="s">
        <v>119</v>
      </c>
      <c r="E1543" s="8">
        <v>40.0</v>
      </c>
      <c r="F1543" s="4" t="str">
        <f t="shared" si="1"/>
        <v>500 &amp; Below</v>
      </c>
    </row>
    <row r="1544" ht="15.75" customHeight="1">
      <c r="A1544" s="4" t="s">
        <v>55</v>
      </c>
      <c r="B1544" s="7">
        <v>45908.0</v>
      </c>
      <c r="C1544" s="4" t="s">
        <v>536</v>
      </c>
      <c r="D1544" s="4" t="s">
        <v>3218</v>
      </c>
      <c r="E1544" s="8">
        <v>100.0</v>
      </c>
      <c r="F1544" s="4" t="str">
        <f t="shared" si="1"/>
        <v>500 &amp; Below</v>
      </c>
    </row>
    <row r="1545" ht="15.75" customHeight="1">
      <c r="A1545" s="4" t="s">
        <v>55</v>
      </c>
      <c r="B1545" s="7">
        <v>45909.0</v>
      </c>
      <c r="C1545" s="4" t="s">
        <v>536</v>
      </c>
      <c r="D1545" s="4" t="s">
        <v>47</v>
      </c>
      <c r="E1545" s="8">
        <v>40.0</v>
      </c>
      <c r="F1545" s="4" t="str">
        <f t="shared" si="1"/>
        <v>500 &amp; Below</v>
      </c>
    </row>
    <row r="1546" ht="15.75" customHeight="1">
      <c r="A1546" s="4" t="s">
        <v>55</v>
      </c>
      <c r="B1546" s="7">
        <v>45909.0</v>
      </c>
      <c r="C1546" s="4" t="s">
        <v>536</v>
      </c>
      <c r="D1546" s="4" t="s">
        <v>1392</v>
      </c>
      <c r="E1546" s="8">
        <v>420.0</v>
      </c>
      <c r="F1546" s="4" t="str">
        <f t="shared" si="1"/>
        <v>500 &amp; Below</v>
      </c>
    </row>
    <row r="1547" ht="15.75" customHeight="1">
      <c r="A1547" s="4" t="s">
        <v>55</v>
      </c>
      <c r="B1547" s="7">
        <v>45910.0</v>
      </c>
      <c r="C1547" s="4" t="s">
        <v>536</v>
      </c>
      <c r="D1547" s="4" t="s">
        <v>826</v>
      </c>
      <c r="E1547" s="8">
        <v>205.0</v>
      </c>
      <c r="F1547" s="4" t="str">
        <f t="shared" si="1"/>
        <v>500 &amp; Below</v>
      </c>
    </row>
    <row r="1548" ht="15.75" customHeight="1">
      <c r="A1548" s="4" t="s">
        <v>55</v>
      </c>
      <c r="B1548" s="7">
        <v>45910.0</v>
      </c>
      <c r="C1548" s="4" t="s">
        <v>536</v>
      </c>
      <c r="D1548" s="4" t="s">
        <v>928</v>
      </c>
      <c r="E1548" s="8">
        <v>170.0</v>
      </c>
      <c r="F1548" s="4" t="str">
        <f t="shared" si="1"/>
        <v>500 &amp; Below</v>
      </c>
    </row>
    <row r="1549" ht="15.75" customHeight="1">
      <c r="A1549" s="4" t="s">
        <v>55</v>
      </c>
      <c r="B1549" s="7">
        <v>45910.0</v>
      </c>
      <c r="C1549" s="4" t="s">
        <v>536</v>
      </c>
      <c r="D1549" s="4" t="s">
        <v>1698</v>
      </c>
      <c r="E1549" s="8">
        <v>112.11</v>
      </c>
      <c r="F1549" s="4" t="str">
        <f t="shared" si="1"/>
        <v>500 &amp; Below</v>
      </c>
    </row>
    <row r="1550" ht="15.75" customHeight="1">
      <c r="A1550" s="4" t="s">
        <v>55</v>
      </c>
      <c r="B1550" s="7">
        <v>45910.0</v>
      </c>
      <c r="C1550" s="4" t="s">
        <v>536</v>
      </c>
      <c r="D1550" s="4" t="s">
        <v>48</v>
      </c>
      <c r="E1550" s="8">
        <v>283.0</v>
      </c>
      <c r="F1550" s="4" t="str">
        <f t="shared" si="1"/>
        <v>500 &amp; Below</v>
      </c>
    </row>
    <row r="1551" ht="15.75" customHeight="1">
      <c r="A1551" s="4" t="s">
        <v>55</v>
      </c>
      <c r="B1551" s="7">
        <v>45910.0</v>
      </c>
      <c r="C1551" s="4" t="s">
        <v>536</v>
      </c>
      <c r="D1551" s="4" t="s">
        <v>52</v>
      </c>
      <c r="E1551" s="8">
        <v>394.0</v>
      </c>
      <c r="F1551" s="4" t="str">
        <f t="shared" si="1"/>
        <v>500 &amp; Below</v>
      </c>
    </row>
    <row r="1552" ht="15.75" customHeight="1">
      <c r="A1552" s="4" t="s">
        <v>55</v>
      </c>
      <c r="B1552" s="7">
        <v>45910.0</v>
      </c>
      <c r="C1552" s="4" t="s">
        <v>536</v>
      </c>
      <c r="D1552" s="4" t="s">
        <v>37</v>
      </c>
      <c r="E1552" s="8">
        <v>29.0</v>
      </c>
      <c r="F1552" s="4" t="str">
        <f t="shared" si="1"/>
        <v>500 &amp; Below</v>
      </c>
    </row>
    <row r="1553" ht="15.75" customHeight="1">
      <c r="A1553" s="4" t="s">
        <v>55</v>
      </c>
      <c r="B1553" s="7">
        <v>45910.0</v>
      </c>
      <c r="C1553" s="4" t="s">
        <v>536</v>
      </c>
      <c r="D1553" s="4" t="s">
        <v>106</v>
      </c>
      <c r="E1553" s="8">
        <v>45.0</v>
      </c>
      <c r="F1553" s="4" t="str">
        <f t="shared" si="1"/>
        <v>500 &amp; Below</v>
      </c>
    </row>
    <row r="1554" ht="15.75" customHeight="1">
      <c r="A1554" s="4" t="s">
        <v>55</v>
      </c>
      <c r="B1554" s="7">
        <v>45910.0</v>
      </c>
      <c r="C1554" s="4" t="s">
        <v>536</v>
      </c>
      <c r="D1554" s="4" t="s">
        <v>79</v>
      </c>
      <c r="E1554" s="8">
        <v>20.0</v>
      </c>
      <c r="F1554" s="4" t="str">
        <f t="shared" si="1"/>
        <v>500 &amp; Below</v>
      </c>
    </row>
    <row r="1555" ht="15.75" customHeight="1">
      <c r="A1555" s="4" t="s">
        <v>55</v>
      </c>
      <c r="B1555" s="7">
        <v>45910.0</v>
      </c>
      <c r="C1555" s="4" t="s">
        <v>536</v>
      </c>
      <c r="D1555" s="4" t="s">
        <v>39</v>
      </c>
      <c r="E1555" s="8">
        <v>10.0</v>
      </c>
      <c r="F1555" s="4" t="str">
        <f t="shared" si="1"/>
        <v>500 &amp; Below</v>
      </c>
    </row>
    <row r="1556" ht="15.75" customHeight="1">
      <c r="A1556" s="4" t="s">
        <v>55</v>
      </c>
      <c r="B1556" s="7">
        <v>45910.0</v>
      </c>
      <c r="C1556" s="4" t="s">
        <v>536</v>
      </c>
      <c r="D1556" s="4" t="s">
        <v>25</v>
      </c>
      <c r="E1556" s="8">
        <v>18.0</v>
      </c>
      <c r="F1556" s="4" t="str">
        <f t="shared" si="1"/>
        <v>500 &amp; Below</v>
      </c>
    </row>
    <row r="1557" ht="15.75" customHeight="1">
      <c r="A1557" s="4" t="s">
        <v>55</v>
      </c>
      <c r="B1557" s="7">
        <v>45910.0</v>
      </c>
      <c r="C1557" s="4" t="s">
        <v>536</v>
      </c>
      <c r="D1557" s="4" t="s">
        <v>3183</v>
      </c>
      <c r="E1557" s="8">
        <v>1266.0</v>
      </c>
      <c r="F1557" s="4" t="str">
        <f t="shared" si="1"/>
        <v>Above 500</v>
      </c>
    </row>
    <row r="1558" ht="15.75" customHeight="1">
      <c r="A1558" s="4" t="s">
        <v>55</v>
      </c>
      <c r="B1558" s="7">
        <v>45911.0</v>
      </c>
      <c r="C1558" s="4" t="s">
        <v>536</v>
      </c>
      <c r="D1558" s="4" t="s">
        <v>3251</v>
      </c>
      <c r="E1558" s="8">
        <v>804.0</v>
      </c>
      <c r="F1558" s="4" t="str">
        <f t="shared" si="1"/>
        <v>Above 500</v>
      </c>
    </row>
    <row r="1559" ht="15.75" customHeight="1">
      <c r="A1559" s="4" t="s">
        <v>55</v>
      </c>
      <c r="B1559" s="7">
        <v>45911.0</v>
      </c>
      <c r="C1559" s="4" t="s">
        <v>536</v>
      </c>
      <c r="D1559" s="4" t="s">
        <v>2600</v>
      </c>
      <c r="E1559" s="8">
        <v>130.0</v>
      </c>
      <c r="F1559" s="4" t="str">
        <f t="shared" si="1"/>
        <v>500 &amp; Below</v>
      </c>
    </row>
    <row r="1560" ht="15.75" customHeight="1">
      <c r="A1560" s="4" t="s">
        <v>55</v>
      </c>
      <c r="B1560" s="7">
        <v>45911.0</v>
      </c>
      <c r="C1560" s="4" t="s">
        <v>536</v>
      </c>
      <c r="D1560" s="4" t="s">
        <v>2600</v>
      </c>
      <c r="E1560" s="8">
        <v>25.0</v>
      </c>
      <c r="F1560" s="4" t="str">
        <f t="shared" si="1"/>
        <v>500 &amp; Below</v>
      </c>
    </row>
    <row r="1561" ht="15.75" customHeight="1">
      <c r="A1561" s="4" t="s">
        <v>55</v>
      </c>
      <c r="B1561" s="7">
        <v>45911.0</v>
      </c>
      <c r="C1561" s="4" t="s">
        <v>536</v>
      </c>
      <c r="D1561" s="4" t="s">
        <v>582</v>
      </c>
      <c r="E1561" s="8">
        <v>49.5</v>
      </c>
      <c r="F1561" s="4" t="str">
        <f t="shared" si="1"/>
        <v>500 &amp; Below</v>
      </c>
    </row>
    <row r="1562" ht="15.75" customHeight="1">
      <c r="A1562" s="4" t="s">
        <v>55</v>
      </c>
      <c r="B1562" s="7">
        <v>45911.0</v>
      </c>
      <c r="C1562" s="4" t="s">
        <v>536</v>
      </c>
      <c r="D1562" s="4" t="s">
        <v>51</v>
      </c>
      <c r="E1562" s="8">
        <v>35.0</v>
      </c>
      <c r="F1562" s="4" t="str">
        <f t="shared" si="1"/>
        <v>500 &amp; Below</v>
      </c>
    </row>
    <row r="1563" ht="15.75" customHeight="1">
      <c r="A1563" s="4" t="s">
        <v>55</v>
      </c>
      <c r="B1563" s="7">
        <v>45911.0</v>
      </c>
      <c r="C1563" s="4" t="s">
        <v>536</v>
      </c>
      <c r="D1563" s="4" t="s">
        <v>36</v>
      </c>
      <c r="E1563" s="8">
        <v>2246.0</v>
      </c>
      <c r="F1563" s="4" t="str">
        <f t="shared" si="1"/>
        <v>Above 500</v>
      </c>
    </row>
    <row r="1564" ht="15.75" customHeight="1">
      <c r="A1564" s="4" t="s">
        <v>55</v>
      </c>
      <c r="B1564" s="7">
        <v>45911.0</v>
      </c>
      <c r="C1564" s="4" t="s">
        <v>536</v>
      </c>
      <c r="D1564" s="4" t="s">
        <v>36</v>
      </c>
      <c r="E1564" s="8">
        <v>1755.0</v>
      </c>
      <c r="F1564" s="4" t="str">
        <f t="shared" si="1"/>
        <v>Above 500</v>
      </c>
    </row>
    <row r="1565" ht="15.75" customHeight="1">
      <c r="A1565" s="4" t="s">
        <v>55</v>
      </c>
      <c r="B1565" s="7">
        <v>45912.0</v>
      </c>
      <c r="C1565" s="4" t="s">
        <v>536</v>
      </c>
      <c r="D1565" s="4" t="s">
        <v>3266</v>
      </c>
      <c r="E1565" s="8">
        <v>10.0</v>
      </c>
      <c r="F1565" s="4" t="str">
        <f t="shared" si="1"/>
        <v>500 &amp; Below</v>
      </c>
    </row>
    <row r="1566" ht="15.75" customHeight="1">
      <c r="A1566" s="4" t="s">
        <v>55</v>
      </c>
      <c r="B1566" s="7">
        <v>45912.0</v>
      </c>
      <c r="C1566" s="4" t="s">
        <v>536</v>
      </c>
      <c r="D1566" s="4" t="s">
        <v>36</v>
      </c>
      <c r="E1566" s="8">
        <v>3039.0</v>
      </c>
      <c r="F1566" s="4" t="str">
        <f t="shared" si="1"/>
        <v>Above 500</v>
      </c>
    </row>
    <row r="1567" ht="15.75" customHeight="1">
      <c r="A1567" s="4" t="s">
        <v>55</v>
      </c>
      <c r="B1567" s="7">
        <v>45912.0</v>
      </c>
      <c r="C1567" s="4" t="s">
        <v>536</v>
      </c>
      <c r="D1567" s="4" t="s">
        <v>3183</v>
      </c>
      <c r="E1567" s="8">
        <v>907.0</v>
      </c>
      <c r="F1567" s="4" t="str">
        <f t="shared" si="1"/>
        <v>Above 500</v>
      </c>
    </row>
    <row r="1568" ht="15.75" customHeight="1">
      <c r="A1568" s="4" t="s">
        <v>55</v>
      </c>
      <c r="B1568" s="7">
        <v>45912.0</v>
      </c>
      <c r="C1568" s="4" t="s">
        <v>536</v>
      </c>
      <c r="D1568" s="4" t="s">
        <v>25</v>
      </c>
      <c r="E1568" s="8">
        <v>13.5</v>
      </c>
      <c r="F1568" s="4" t="str">
        <f t="shared" si="1"/>
        <v>500 &amp; Below</v>
      </c>
    </row>
    <row r="1569" ht="15.75" customHeight="1">
      <c r="A1569" s="4" t="s">
        <v>55</v>
      </c>
      <c r="B1569" s="7">
        <v>45912.0</v>
      </c>
      <c r="C1569" s="4" t="s">
        <v>536</v>
      </c>
      <c r="D1569" s="4" t="s">
        <v>24</v>
      </c>
      <c r="E1569" s="8">
        <v>35.0</v>
      </c>
      <c r="F1569" s="4" t="str">
        <f t="shared" si="1"/>
        <v>500 &amp; Below</v>
      </c>
    </row>
    <row r="1570" ht="15.75" customHeight="1">
      <c r="A1570" s="4" t="s">
        <v>55</v>
      </c>
      <c r="B1570" s="7">
        <v>45913.0</v>
      </c>
      <c r="C1570" s="4" t="s">
        <v>536</v>
      </c>
      <c r="D1570" s="4" t="s">
        <v>3242</v>
      </c>
      <c r="E1570" s="8">
        <v>1500.0</v>
      </c>
      <c r="F1570" s="4" t="str">
        <f t="shared" si="1"/>
        <v>Above 500</v>
      </c>
    </row>
    <row r="1571" ht="15.75" customHeight="1">
      <c r="A1571" s="4" t="s">
        <v>55</v>
      </c>
      <c r="B1571" s="7">
        <v>45913.0</v>
      </c>
      <c r="C1571" s="4" t="s">
        <v>536</v>
      </c>
      <c r="D1571" s="4" t="s">
        <v>3267</v>
      </c>
      <c r="E1571" s="8">
        <v>2000.0</v>
      </c>
      <c r="F1571" s="4" t="str">
        <f t="shared" si="1"/>
        <v>Above 500</v>
      </c>
    </row>
    <row r="1572" ht="15.75" customHeight="1">
      <c r="A1572" s="4" t="s">
        <v>55</v>
      </c>
      <c r="B1572" s="7">
        <v>45914.0</v>
      </c>
      <c r="C1572" s="4" t="s">
        <v>536</v>
      </c>
      <c r="D1572" s="4" t="s">
        <v>3268</v>
      </c>
      <c r="E1572" s="8">
        <v>924.95</v>
      </c>
      <c r="F1572" s="4" t="str">
        <f t="shared" si="1"/>
        <v>Above 500</v>
      </c>
    </row>
    <row r="1573" ht="15.75" customHeight="1">
      <c r="A1573" s="4" t="s">
        <v>55</v>
      </c>
      <c r="B1573" s="7">
        <v>45914.0</v>
      </c>
      <c r="C1573" s="4" t="s">
        <v>536</v>
      </c>
      <c r="D1573" s="4" t="s">
        <v>79</v>
      </c>
      <c r="E1573" s="8">
        <v>40.0</v>
      </c>
      <c r="F1573" s="4" t="str">
        <f t="shared" si="1"/>
        <v>500 &amp; Below</v>
      </c>
    </row>
    <row r="1574" ht="15.75" customHeight="1">
      <c r="A1574" s="4" t="s">
        <v>55</v>
      </c>
      <c r="B1574" s="7">
        <v>45914.0</v>
      </c>
      <c r="C1574" s="4" t="s">
        <v>536</v>
      </c>
      <c r="D1574" s="4" t="s">
        <v>106</v>
      </c>
      <c r="E1574" s="8">
        <v>10.0</v>
      </c>
      <c r="F1574" s="4" t="str">
        <f t="shared" si="1"/>
        <v>500 &amp; Below</v>
      </c>
    </row>
    <row r="1575" ht="15.75" customHeight="1">
      <c r="A1575" s="4" t="s">
        <v>55</v>
      </c>
      <c r="B1575" s="7">
        <v>45915.0</v>
      </c>
      <c r="C1575" s="4" t="s">
        <v>536</v>
      </c>
      <c r="D1575" s="4" t="s">
        <v>2605</v>
      </c>
      <c r="E1575" s="8">
        <v>49.0</v>
      </c>
      <c r="F1575" s="4" t="str">
        <f t="shared" si="1"/>
        <v>500 &amp; Below</v>
      </c>
    </row>
    <row r="1576" ht="15.75" customHeight="1">
      <c r="A1576" s="4" t="s">
        <v>55</v>
      </c>
      <c r="B1576" s="7">
        <v>45915.0</v>
      </c>
      <c r="C1576" s="4" t="s">
        <v>536</v>
      </c>
      <c r="D1576" s="4" t="s">
        <v>3269</v>
      </c>
      <c r="E1576" s="8">
        <v>100.0</v>
      </c>
      <c r="F1576" s="4" t="str">
        <f t="shared" si="1"/>
        <v>500 &amp; Below</v>
      </c>
    </row>
    <row r="1577" ht="15.75" customHeight="1">
      <c r="A1577" s="4" t="s">
        <v>55</v>
      </c>
      <c r="B1577" s="7">
        <v>45915.0</v>
      </c>
      <c r="C1577" s="4" t="s">
        <v>536</v>
      </c>
      <c r="D1577" s="4" t="s">
        <v>103</v>
      </c>
      <c r="E1577" s="8">
        <v>195.0</v>
      </c>
      <c r="F1577" s="4" t="str">
        <f t="shared" si="1"/>
        <v>500 &amp; Below</v>
      </c>
    </row>
    <row r="1578" ht="15.75" customHeight="1">
      <c r="A1578" s="4" t="s">
        <v>55</v>
      </c>
      <c r="B1578" s="7">
        <v>45915.0</v>
      </c>
      <c r="C1578" s="4" t="s">
        <v>536</v>
      </c>
      <c r="D1578" s="4" t="s">
        <v>1372</v>
      </c>
      <c r="E1578" s="8">
        <v>10.0</v>
      </c>
      <c r="F1578" s="4" t="str">
        <f t="shared" si="1"/>
        <v>500 &amp; Below</v>
      </c>
    </row>
    <row r="1579" ht="15.75" customHeight="1">
      <c r="A1579" s="4" t="s">
        <v>55</v>
      </c>
      <c r="B1579" s="7">
        <v>45915.0</v>
      </c>
      <c r="C1579" s="4" t="s">
        <v>536</v>
      </c>
      <c r="D1579" s="4" t="s">
        <v>106</v>
      </c>
      <c r="E1579" s="8">
        <v>120.0</v>
      </c>
      <c r="F1579" s="4" t="str">
        <f t="shared" si="1"/>
        <v>500 &amp; Below</v>
      </c>
    </row>
    <row r="1580" ht="15.75" customHeight="1">
      <c r="A1580" s="4" t="s">
        <v>55</v>
      </c>
      <c r="B1580" s="7">
        <v>45916.0</v>
      </c>
      <c r="C1580" s="4" t="s">
        <v>536</v>
      </c>
      <c r="D1580" s="4" t="s">
        <v>79</v>
      </c>
      <c r="E1580" s="8">
        <v>22.0</v>
      </c>
      <c r="F1580" s="4" t="str">
        <f t="shared" si="1"/>
        <v>500 &amp; Below</v>
      </c>
    </row>
    <row r="1581" ht="15.75" customHeight="1">
      <c r="A1581" s="4" t="s">
        <v>55</v>
      </c>
      <c r="B1581" s="7">
        <v>45916.0</v>
      </c>
      <c r="C1581" s="4" t="s">
        <v>536</v>
      </c>
      <c r="D1581" s="4" t="s">
        <v>3269</v>
      </c>
      <c r="E1581" s="8">
        <v>100.0</v>
      </c>
      <c r="F1581" s="4" t="str">
        <f t="shared" si="1"/>
        <v>500 &amp; Below</v>
      </c>
    </row>
    <row r="1582" ht="15.75" customHeight="1">
      <c r="A1582" s="4" t="s">
        <v>55</v>
      </c>
      <c r="B1582" s="7">
        <v>45917.0</v>
      </c>
      <c r="C1582" s="4" t="s">
        <v>536</v>
      </c>
      <c r="D1582" s="4" t="s">
        <v>3218</v>
      </c>
      <c r="E1582" s="8">
        <v>104.0</v>
      </c>
      <c r="F1582" s="4" t="str">
        <f t="shared" si="1"/>
        <v>500 &amp; Below</v>
      </c>
    </row>
    <row r="1583" ht="15.75" customHeight="1">
      <c r="A1583" s="4" t="s">
        <v>55</v>
      </c>
      <c r="B1583" s="7">
        <v>45918.0</v>
      </c>
      <c r="C1583" s="4" t="s">
        <v>536</v>
      </c>
      <c r="D1583" s="4" t="s">
        <v>33</v>
      </c>
      <c r="E1583" s="8">
        <v>22.0</v>
      </c>
      <c r="F1583" s="4" t="str">
        <f t="shared" si="1"/>
        <v>500 &amp; Below</v>
      </c>
    </row>
    <row r="1584" ht="15.75" customHeight="1">
      <c r="A1584" s="4" t="s">
        <v>55</v>
      </c>
      <c r="B1584" s="7">
        <v>45919.0</v>
      </c>
      <c r="C1584" s="4" t="s">
        <v>536</v>
      </c>
      <c r="D1584" s="4" t="s">
        <v>3267</v>
      </c>
      <c r="E1584" s="8">
        <v>1000.0</v>
      </c>
      <c r="F1584" s="4" t="str">
        <f t="shared" si="1"/>
        <v>Above 500</v>
      </c>
    </row>
    <row r="1585" ht="15.75" customHeight="1">
      <c r="A1585" s="4" t="s">
        <v>55</v>
      </c>
      <c r="B1585" s="7">
        <v>45920.0</v>
      </c>
      <c r="C1585" s="4" t="s">
        <v>536</v>
      </c>
      <c r="D1585" s="4" t="s">
        <v>117</v>
      </c>
      <c r="E1585" s="8">
        <v>50.0</v>
      </c>
      <c r="F1585" s="4" t="str">
        <f t="shared" si="1"/>
        <v>500 &amp; Below</v>
      </c>
    </row>
    <row r="1586" ht="15.75" customHeight="1">
      <c r="A1586" s="4" t="s">
        <v>55</v>
      </c>
      <c r="B1586" s="7">
        <v>45921.0</v>
      </c>
      <c r="C1586" s="4" t="s">
        <v>536</v>
      </c>
      <c r="D1586" s="4" t="s">
        <v>25</v>
      </c>
      <c r="E1586" s="8">
        <v>39.75</v>
      </c>
      <c r="F1586" s="4" t="str">
        <f t="shared" si="1"/>
        <v>500 &amp; Below</v>
      </c>
    </row>
    <row r="1587" ht="15.75" customHeight="1">
      <c r="A1587" s="4" t="s">
        <v>55</v>
      </c>
      <c r="B1587" s="7">
        <v>45921.0</v>
      </c>
      <c r="C1587" s="4" t="s">
        <v>536</v>
      </c>
      <c r="D1587" s="4" t="s">
        <v>26</v>
      </c>
      <c r="E1587" s="8">
        <v>270.0</v>
      </c>
      <c r="F1587" s="4" t="str">
        <f t="shared" si="1"/>
        <v>500 &amp; Below</v>
      </c>
    </row>
    <row r="1588" ht="15.75" customHeight="1">
      <c r="A1588" s="4" t="s">
        <v>55</v>
      </c>
      <c r="B1588" s="7">
        <v>45921.0</v>
      </c>
      <c r="C1588" s="4" t="s">
        <v>536</v>
      </c>
      <c r="D1588" s="4" t="s">
        <v>3270</v>
      </c>
      <c r="E1588" s="8">
        <v>177.0</v>
      </c>
      <c r="F1588" s="4" t="str">
        <f t="shared" si="1"/>
        <v>500 &amp; Below</v>
      </c>
    </row>
    <row r="1589" ht="15.75" customHeight="1">
      <c r="A1589" s="4" t="s">
        <v>55</v>
      </c>
      <c r="B1589" s="7">
        <v>45921.0</v>
      </c>
      <c r="C1589" s="4" t="s">
        <v>536</v>
      </c>
      <c r="D1589" s="4" t="s">
        <v>3271</v>
      </c>
      <c r="E1589" s="8">
        <v>40.0</v>
      </c>
      <c r="F1589" s="4" t="str">
        <f t="shared" si="1"/>
        <v>500 &amp; Below</v>
      </c>
    </row>
    <row r="1590" ht="15.75" customHeight="1">
      <c r="A1590" s="4" t="s">
        <v>55</v>
      </c>
      <c r="B1590" s="7">
        <v>45921.0</v>
      </c>
      <c r="C1590" s="4" t="s">
        <v>536</v>
      </c>
      <c r="D1590" s="4" t="s">
        <v>3272</v>
      </c>
      <c r="E1590" s="8">
        <v>100.0</v>
      </c>
      <c r="F1590" s="4" t="str">
        <f t="shared" si="1"/>
        <v>500 &amp; Below</v>
      </c>
    </row>
    <row r="1591" ht="15.75" customHeight="1">
      <c r="A1591" s="4" t="s">
        <v>55</v>
      </c>
      <c r="B1591" s="7">
        <v>45922.0</v>
      </c>
      <c r="C1591" s="4" t="s">
        <v>536</v>
      </c>
      <c r="D1591" s="4" t="s">
        <v>1340</v>
      </c>
      <c r="E1591" s="8">
        <v>250.0</v>
      </c>
      <c r="F1591" s="4" t="str">
        <f t="shared" si="1"/>
        <v>500 &amp; Below</v>
      </c>
    </row>
    <row r="1592" ht="15.75" customHeight="1">
      <c r="A1592" s="4" t="s">
        <v>55</v>
      </c>
      <c r="B1592" s="7">
        <v>45922.0</v>
      </c>
      <c r="C1592" s="4" t="s">
        <v>536</v>
      </c>
      <c r="D1592" s="4" t="s">
        <v>3273</v>
      </c>
      <c r="E1592" s="8">
        <v>80.0</v>
      </c>
      <c r="F1592" s="4" t="str">
        <f t="shared" si="1"/>
        <v>500 &amp; Below</v>
      </c>
    </row>
    <row r="1593" ht="15.75" customHeight="1">
      <c r="A1593" s="4" t="s">
        <v>55</v>
      </c>
      <c r="B1593" s="7">
        <v>45923.0</v>
      </c>
      <c r="C1593" s="4" t="s">
        <v>536</v>
      </c>
      <c r="D1593" s="4" t="s">
        <v>3251</v>
      </c>
      <c r="E1593" s="8">
        <v>906.0</v>
      </c>
      <c r="F1593" s="4" t="str">
        <f t="shared" si="1"/>
        <v>Above 500</v>
      </c>
    </row>
    <row r="1594" ht="15.75" customHeight="1">
      <c r="A1594" s="4" t="s">
        <v>55</v>
      </c>
      <c r="B1594" s="7">
        <v>45923.0</v>
      </c>
      <c r="C1594" s="4" t="s">
        <v>536</v>
      </c>
      <c r="D1594" s="4" t="s">
        <v>3274</v>
      </c>
      <c r="E1594" s="8">
        <v>1000.0</v>
      </c>
      <c r="F1594" s="4" t="str">
        <f t="shared" si="1"/>
        <v>Above 500</v>
      </c>
    </row>
    <row r="1595" ht="15.75" customHeight="1">
      <c r="A1595" s="4" t="s">
        <v>55</v>
      </c>
      <c r="B1595" s="7">
        <v>45923.0</v>
      </c>
      <c r="C1595" s="4" t="s">
        <v>536</v>
      </c>
      <c r="D1595" s="4" t="s">
        <v>18</v>
      </c>
      <c r="E1595" s="8">
        <v>151.0</v>
      </c>
      <c r="F1595" s="4" t="str">
        <f t="shared" si="1"/>
        <v>500 &amp; Below</v>
      </c>
    </row>
    <row r="1596" ht="15.75" customHeight="1">
      <c r="A1596" s="4" t="s">
        <v>55</v>
      </c>
      <c r="B1596" s="7">
        <v>45923.0</v>
      </c>
      <c r="C1596" s="4" t="s">
        <v>536</v>
      </c>
      <c r="D1596" s="4" t="s">
        <v>3222</v>
      </c>
      <c r="E1596" s="8">
        <v>125.0</v>
      </c>
      <c r="F1596" s="4" t="str">
        <f t="shared" si="1"/>
        <v>500 &amp; Below</v>
      </c>
    </row>
    <row r="1597" ht="15.75" customHeight="1">
      <c r="A1597" s="4" t="s">
        <v>55</v>
      </c>
      <c r="B1597" s="7">
        <v>45923.0</v>
      </c>
      <c r="C1597" s="4" t="s">
        <v>536</v>
      </c>
      <c r="D1597" s="4" t="s">
        <v>1392</v>
      </c>
      <c r="E1597" s="8">
        <v>120.0</v>
      </c>
      <c r="F1597" s="4" t="str">
        <f t="shared" si="1"/>
        <v>500 &amp; Below</v>
      </c>
    </row>
    <row r="1598" ht="15.75" customHeight="1">
      <c r="A1598" s="4" t="s">
        <v>55</v>
      </c>
      <c r="B1598" s="7">
        <v>45924.0</v>
      </c>
      <c r="C1598" s="4" t="s">
        <v>536</v>
      </c>
      <c r="D1598" s="4" t="s">
        <v>3251</v>
      </c>
      <c r="E1598" s="8">
        <v>176.0</v>
      </c>
      <c r="F1598" s="4" t="str">
        <f t="shared" si="1"/>
        <v>500 &amp; Below</v>
      </c>
    </row>
    <row r="1599" ht="15.75" customHeight="1">
      <c r="A1599" s="4" t="s">
        <v>55</v>
      </c>
      <c r="B1599" s="7">
        <v>45924.0</v>
      </c>
      <c r="C1599" s="4" t="s">
        <v>536</v>
      </c>
      <c r="D1599" s="4" t="s">
        <v>113</v>
      </c>
      <c r="E1599" s="8">
        <v>20.0</v>
      </c>
      <c r="F1599" s="4" t="str">
        <f t="shared" si="1"/>
        <v>500 &amp; Below</v>
      </c>
    </row>
    <row r="1600" ht="15.75" customHeight="1">
      <c r="A1600" s="4" t="s">
        <v>55</v>
      </c>
      <c r="B1600" s="7">
        <v>45924.0</v>
      </c>
      <c r="C1600" s="4" t="s">
        <v>536</v>
      </c>
      <c r="D1600" s="4" t="s">
        <v>1190</v>
      </c>
      <c r="E1600" s="8">
        <v>40.0</v>
      </c>
      <c r="F1600" s="4" t="str">
        <f t="shared" si="1"/>
        <v>500 &amp; Below</v>
      </c>
    </row>
    <row r="1601" ht="15.75" customHeight="1">
      <c r="A1601" s="4" t="s">
        <v>55</v>
      </c>
      <c r="B1601" s="7">
        <v>45924.0</v>
      </c>
      <c r="C1601" s="4" t="s">
        <v>536</v>
      </c>
      <c r="D1601" s="4" t="s">
        <v>39</v>
      </c>
      <c r="E1601" s="8">
        <v>5.0</v>
      </c>
      <c r="F1601" s="4" t="str">
        <f t="shared" si="1"/>
        <v>500 &amp; Below</v>
      </c>
    </row>
    <row r="1602" ht="15.75" customHeight="1">
      <c r="A1602" s="4" t="s">
        <v>55</v>
      </c>
      <c r="B1602" s="7">
        <v>45924.0</v>
      </c>
      <c r="C1602" s="4" t="s">
        <v>536</v>
      </c>
      <c r="D1602" s="4" t="s">
        <v>1365</v>
      </c>
      <c r="E1602" s="8">
        <v>45.0</v>
      </c>
      <c r="F1602" s="4" t="str">
        <f t="shared" si="1"/>
        <v>500 &amp; Below</v>
      </c>
    </row>
    <row r="1603" ht="15.75" customHeight="1">
      <c r="A1603" s="4" t="s">
        <v>55</v>
      </c>
      <c r="B1603" s="7">
        <v>45924.0</v>
      </c>
      <c r="C1603" s="4" t="s">
        <v>536</v>
      </c>
      <c r="D1603" s="4" t="s">
        <v>3275</v>
      </c>
      <c r="E1603" s="8">
        <v>18.0</v>
      </c>
      <c r="F1603" s="4" t="str">
        <f t="shared" si="1"/>
        <v>500 &amp; Below</v>
      </c>
    </row>
    <row r="1604" ht="15.75" customHeight="1">
      <c r="A1604" s="4" t="s">
        <v>55</v>
      </c>
      <c r="B1604" s="7">
        <v>45924.0</v>
      </c>
      <c r="C1604" s="4" t="s">
        <v>536</v>
      </c>
      <c r="D1604" s="4" t="s">
        <v>25</v>
      </c>
      <c r="E1604" s="8">
        <v>17.5</v>
      </c>
      <c r="F1604" s="4" t="str">
        <f t="shared" si="1"/>
        <v>500 &amp; Below</v>
      </c>
    </row>
    <row r="1605" ht="15.75" customHeight="1">
      <c r="A1605" s="4" t="s">
        <v>55</v>
      </c>
      <c r="B1605" s="7">
        <v>45924.0</v>
      </c>
      <c r="C1605" s="4" t="s">
        <v>536</v>
      </c>
      <c r="D1605" s="4" t="s">
        <v>3276</v>
      </c>
      <c r="E1605" s="8">
        <v>1402.0</v>
      </c>
      <c r="F1605" s="4" t="str">
        <f t="shared" si="1"/>
        <v>Above 500</v>
      </c>
    </row>
    <row r="1606" ht="15.75" customHeight="1">
      <c r="A1606" s="4" t="s">
        <v>55</v>
      </c>
      <c r="B1606" s="7">
        <v>45925.0</v>
      </c>
      <c r="C1606" s="4" t="s">
        <v>536</v>
      </c>
      <c r="D1606" s="4" t="s">
        <v>124</v>
      </c>
      <c r="E1606" s="8">
        <v>489.0</v>
      </c>
      <c r="F1606" s="4" t="str">
        <f t="shared" si="1"/>
        <v>500 &amp; Below</v>
      </c>
    </row>
    <row r="1607" ht="15.75" customHeight="1">
      <c r="A1607" s="4" t="s">
        <v>55</v>
      </c>
      <c r="B1607" s="7">
        <v>45925.0</v>
      </c>
      <c r="C1607" s="4" t="s">
        <v>536</v>
      </c>
      <c r="D1607" s="4" t="s">
        <v>37</v>
      </c>
      <c r="E1607" s="8">
        <v>319.0</v>
      </c>
      <c r="F1607" s="4" t="str">
        <f t="shared" si="1"/>
        <v>500 &amp; Below</v>
      </c>
    </row>
    <row r="1608" ht="15.75" customHeight="1">
      <c r="A1608" s="4" t="s">
        <v>55</v>
      </c>
      <c r="B1608" s="7">
        <v>45925.0</v>
      </c>
      <c r="C1608" s="4" t="s">
        <v>536</v>
      </c>
      <c r="D1608" s="4" t="s">
        <v>103</v>
      </c>
      <c r="E1608" s="8">
        <v>50.0</v>
      </c>
      <c r="F1608" s="4" t="str">
        <f t="shared" si="1"/>
        <v>500 &amp; Below</v>
      </c>
    </row>
    <row r="1609" ht="15.75" customHeight="1">
      <c r="A1609" s="4" t="s">
        <v>55</v>
      </c>
      <c r="B1609" s="7">
        <v>45925.0</v>
      </c>
      <c r="C1609" s="4" t="s">
        <v>536</v>
      </c>
      <c r="D1609" s="4" t="s">
        <v>37</v>
      </c>
      <c r="E1609" s="8">
        <v>29.0</v>
      </c>
      <c r="F1609" s="4" t="str">
        <f t="shared" si="1"/>
        <v>500 &amp; Below</v>
      </c>
    </row>
    <row r="1610" ht="15.75" customHeight="1">
      <c r="A1610" s="4" t="s">
        <v>55</v>
      </c>
      <c r="B1610" s="7">
        <v>45926.0</v>
      </c>
      <c r="C1610" s="4" t="s">
        <v>536</v>
      </c>
      <c r="D1610" s="4" t="s">
        <v>3218</v>
      </c>
      <c r="E1610" s="8">
        <v>345.0</v>
      </c>
      <c r="F1610" s="4" t="str">
        <f t="shared" si="1"/>
        <v>500 &amp; Below</v>
      </c>
    </row>
    <row r="1611" ht="15.75" customHeight="1">
      <c r="A1611" s="4" t="s">
        <v>55</v>
      </c>
      <c r="B1611" s="7">
        <v>45926.0</v>
      </c>
      <c r="C1611" s="4" t="s">
        <v>536</v>
      </c>
      <c r="D1611" s="4" t="s">
        <v>25</v>
      </c>
      <c r="E1611" s="8">
        <v>22.5</v>
      </c>
      <c r="F1611" s="4" t="str">
        <f t="shared" si="1"/>
        <v>500 &amp; Below</v>
      </c>
    </row>
    <row r="1612" ht="15.75" customHeight="1">
      <c r="A1612" s="4" t="s">
        <v>55</v>
      </c>
      <c r="B1612" s="7">
        <v>45926.0</v>
      </c>
      <c r="C1612" s="4" t="s">
        <v>536</v>
      </c>
      <c r="D1612" s="4" t="s">
        <v>3277</v>
      </c>
      <c r="E1612" s="8">
        <v>230.0</v>
      </c>
      <c r="F1612" s="4" t="str">
        <f t="shared" si="1"/>
        <v>500 &amp; Below</v>
      </c>
    </row>
    <row r="1613" ht="15.75" customHeight="1">
      <c r="A1613" s="4" t="s">
        <v>55</v>
      </c>
      <c r="B1613" s="7">
        <v>45926.0</v>
      </c>
      <c r="C1613" s="4" t="s">
        <v>536</v>
      </c>
      <c r="D1613" s="4" t="s">
        <v>37</v>
      </c>
      <c r="E1613" s="8">
        <v>29.0</v>
      </c>
      <c r="F1613" s="4" t="str">
        <f t="shared" si="1"/>
        <v>500 &amp; Below</v>
      </c>
    </row>
    <row r="1614" ht="15.75" customHeight="1">
      <c r="A1614" s="4" t="s">
        <v>55</v>
      </c>
      <c r="B1614" s="7">
        <v>45927.0</v>
      </c>
      <c r="C1614" s="4" t="s">
        <v>536</v>
      </c>
      <c r="D1614" s="4" t="s">
        <v>39</v>
      </c>
      <c r="E1614" s="8">
        <v>100.0</v>
      </c>
      <c r="F1614" s="4" t="str">
        <f t="shared" si="1"/>
        <v>500 &amp; Below</v>
      </c>
    </row>
    <row r="1615" ht="15.75" customHeight="1">
      <c r="A1615" s="4" t="s">
        <v>55</v>
      </c>
      <c r="B1615" s="7">
        <v>45927.0</v>
      </c>
      <c r="C1615" s="4" t="s">
        <v>536</v>
      </c>
      <c r="D1615" s="4" t="s">
        <v>3278</v>
      </c>
      <c r="E1615" s="8">
        <v>1.0</v>
      </c>
      <c r="F1615" s="4" t="str">
        <f t="shared" si="1"/>
        <v>500 &amp; Below</v>
      </c>
    </row>
    <row r="1616" ht="15.75" customHeight="1">
      <c r="A1616" s="4" t="s">
        <v>55</v>
      </c>
      <c r="B1616" s="7">
        <v>45927.0</v>
      </c>
      <c r="C1616" s="4" t="s">
        <v>536</v>
      </c>
      <c r="D1616" s="4" t="s">
        <v>39</v>
      </c>
      <c r="E1616" s="8">
        <v>50.0</v>
      </c>
      <c r="F1616" s="4" t="str">
        <f t="shared" si="1"/>
        <v>500 &amp; Below</v>
      </c>
    </row>
    <row r="1617" ht="15.75" customHeight="1">
      <c r="A1617" s="4" t="s">
        <v>55</v>
      </c>
      <c r="B1617" s="7">
        <v>45928.0</v>
      </c>
      <c r="C1617" s="4" t="s">
        <v>536</v>
      </c>
      <c r="D1617" s="4" t="s">
        <v>3195</v>
      </c>
      <c r="E1617" s="8">
        <v>299.0</v>
      </c>
      <c r="F1617" s="4" t="str">
        <f t="shared" si="1"/>
        <v>500 &amp; Below</v>
      </c>
    </row>
    <row r="1618" ht="15.75" customHeight="1">
      <c r="A1618" s="4" t="s">
        <v>55</v>
      </c>
      <c r="B1618" s="7">
        <v>45928.0</v>
      </c>
      <c r="C1618" s="4" t="s">
        <v>536</v>
      </c>
      <c r="D1618" s="4" t="s">
        <v>1988</v>
      </c>
      <c r="E1618" s="8">
        <v>400.0</v>
      </c>
      <c r="F1618" s="4" t="str">
        <f t="shared" si="1"/>
        <v>500 &amp; Below</v>
      </c>
    </row>
    <row r="1619" ht="15.75" customHeight="1">
      <c r="A1619" s="4" t="s">
        <v>55</v>
      </c>
      <c r="B1619" s="7">
        <v>45928.0</v>
      </c>
      <c r="C1619" s="4" t="s">
        <v>536</v>
      </c>
      <c r="D1619" s="4" t="s">
        <v>3279</v>
      </c>
      <c r="E1619" s="8">
        <v>40.0</v>
      </c>
      <c r="F1619" s="4" t="str">
        <f t="shared" si="1"/>
        <v>500 &amp; Below</v>
      </c>
    </row>
    <row r="1620" ht="15.75" customHeight="1">
      <c r="A1620" s="4" t="s">
        <v>55</v>
      </c>
      <c r="B1620" s="7">
        <v>45928.0</v>
      </c>
      <c r="C1620" s="4" t="s">
        <v>536</v>
      </c>
      <c r="D1620" s="4" t="s">
        <v>1988</v>
      </c>
      <c r="E1620" s="8">
        <v>90.0</v>
      </c>
      <c r="F1620" s="4" t="str">
        <f t="shared" si="1"/>
        <v>500 &amp; Below</v>
      </c>
    </row>
    <row r="1621" ht="15.75" customHeight="1">
      <c r="A1621" s="4" t="s">
        <v>55</v>
      </c>
      <c r="B1621" s="7">
        <v>45928.0</v>
      </c>
      <c r="C1621" s="4" t="s">
        <v>536</v>
      </c>
      <c r="D1621" s="4" t="s">
        <v>1340</v>
      </c>
      <c r="E1621" s="8">
        <v>62.5</v>
      </c>
      <c r="F1621" s="4" t="str">
        <f t="shared" si="1"/>
        <v>500 &amp; Below</v>
      </c>
    </row>
    <row r="1622" ht="15.75" customHeight="1">
      <c r="A1622" s="4" t="s">
        <v>55</v>
      </c>
      <c r="B1622" s="7">
        <v>45928.0</v>
      </c>
      <c r="C1622" s="4" t="s">
        <v>536</v>
      </c>
      <c r="D1622" s="4" t="s">
        <v>3280</v>
      </c>
      <c r="E1622" s="8">
        <v>160.0</v>
      </c>
      <c r="F1622" s="4" t="str">
        <f t="shared" si="1"/>
        <v>500 &amp; Below</v>
      </c>
    </row>
    <row r="1623" ht="15.75" customHeight="1">
      <c r="A1623" s="4" t="s">
        <v>55</v>
      </c>
      <c r="B1623" s="7">
        <v>45929.0</v>
      </c>
      <c r="C1623" s="4" t="s">
        <v>536</v>
      </c>
      <c r="D1623" s="4" t="s">
        <v>3240</v>
      </c>
      <c r="E1623" s="8">
        <v>40.0</v>
      </c>
      <c r="F1623" s="4" t="str">
        <f t="shared" si="1"/>
        <v>500 &amp; Below</v>
      </c>
    </row>
    <row r="1624" ht="15.75" customHeight="1">
      <c r="A1624" s="4" t="s">
        <v>55</v>
      </c>
      <c r="B1624" s="7">
        <v>45929.0</v>
      </c>
      <c r="C1624" s="4" t="s">
        <v>536</v>
      </c>
      <c r="D1624" s="4" t="s">
        <v>2519</v>
      </c>
      <c r="E1624" s="8">
        <v>225.0</v>
      </c>
      <c r="F1624" s="4" t="str">
        <f t="shared" si="1"/>
        <v>500 &amp; Below</v>
      </c>
    </row>
    <row r="1625" ht="15.75" customHeight="1">
      <c r="A1625" s="4" t="s">
        <v>55</v>
      </c>
      <c r="B1625" s="7">
        <v>45930.0</v>
      </c>
      <c r="C1625" s="4" t="s">
        <v>536</v>
      </c>
      <c r="D1625" s="4" t="s">
        <v>2357</v>
      </c>
      <c r="E1625" s="8">
        <v>101.0</v>
      </c>
      <c r="F1625" s="4" t="str">
        <f t="shared" si="1"/>
        <v>500 &amp; Below</v>
      </c>
    </row>
    <row r="1626" ht="15.75" customHeight="1">
      <c r="A1626" s="4" t="s">
        <v>55</v>
      </c>
      <c r="B1626" s="7">
        <v>45930.0</v>
      </c>
      <c r="C1626" s="4" t="s">
        <v>536</v>
      </c>
      <c r="D1626" s="4" t="s">
        <v>44</v>
      </c>
      <c r="E1626" s="8">
        <v>265.0</v>
      </c>
      <c r="F1626" s="4" t="str">
        <f t="shared" si="1"/>
        <v>500 &amp; Below</v>
      </c>
    </row>
    <row r="1627" ht="15.75" customHeight="1">
      <c r="A1627" s="4" t="s">
        <v>55</v>
      </c>
      <c r="B1627" s="7">
        <v>45930.0</v>
      </c>
      <c r="C1627" s="4" t="s">
        <v>536</v>
      </c>
      <c r="D1627" s="4" t="s">
        <v>37</v>
      </c>
      <c r="E1627" s="8">
        <v>19.0</v>
      </c>
      <c r="F1627" s="4" t="str">
        <f t="shared" si="1"/>
        <v>500 &amp; Below</v>
      </c>
    </row>
    <row r="1628" ht="15.75" customHeight="1">
      <c r="A1628" s="4" t="s">
        <v>55</v>
      </c>
      <c r="B1628" s="7">
        <v>45930.0</v>
      </c>
      <c r="C1628" s="4" t="s">
        <v>536</v>
      </c>
      <c r="D1628" s="4" t="s">
        <v>3281</v>
      </c>
      <c r="E1628" s="8">
        <v>70.0</v>
      </c>
      <c r="F1628" s="4" t="str">
        <f t="shared" si="1"/>
        <v>500 &amp; Below</v>
      </c>
    </row>
    <row r="1629" ht="15.75" customHeight="1">
      <c r="A1629" s="4" t="s">
        <v>55</v>
      </c>
      <c r="B1629" s="7">
        <v>45930.0</v>
      </c>
      <c r="C1629" s="4" t="s">
        <v>536</v>
      </c>
      <c r="D1629" s="4" t="s">
        <v>3281</v>
      </c>
      <c r="E1629" s="8">
        <v>140.0</v>
      </c>
      <c r="F1629" s="4" t="str">
        <f t="shared" si="1"/>
        <v>500 &amp; Below</v>
      </c>
    </row>
    <row r="1630" ht="15.75" customHeight="1">
      <c r="A1630" s="4" t="s">
        <v>55</v>
      </c>
      <c r="B1630" s="7">
        <v>45930.0</v>
      </c>
      <c r="C1630" s="4" t="s">
        <v>536</v>
      </c>
      <c r="D1630" s="4" t="s">
        <v>3282</v>
      </c>
      <c r="E1630" s="8">
        <v>60.0</v>
      </c>
      <c r="F1630" s="4" t="str">
        <f t="shared" si="1"/>
        <v>500 &amp; Below</v>
      </c>
    </row>
    <row r="1631" ht="15.75" customHeight="1">
      <c r="A1631" s="4" t="s">
        <v>55</v>
      </c>
      <c r="B1631" s="7">
        <v>45931.0</v>
      </c>
      <c r="C1631" s="4" t="s">
        <v>594</v>
      </c>
      <c r="D1631" s="4" t="s">
        <v>2565</v>
      </c>
      <c r="E1631" s="8">
        <v>859.0</v>
      </c>
      <c r="F1631" s="4" t="str">
        <f t="shared" si="1"/>
        <v>Above 500</v>
      </c>
    </row>
    <row r="1632" ht="15.75" customHeight="1">
      <c r="A1632" s="4" t="s">
        <v>55</v>
      </c>
      <c r="B1632" s="7">
        <v>45931.0</v>
      </c>
      <c r="C1632" s="4" t="s">
        <v>594</v>
      </c>
      <c r="D1632" s="4" t="s">
        <v>33</v>
      </c>
      <c r="E1632" s="8">
        <v>189.0</v>
      </c>
      <c r="F1632" s="4" t="str">
        <f t="shared" si="1"/>
        <v>500 &amp; Below</v>
      </c>
    </row>
    <row r="1633" ht="15.75" customHeight="1">
      <c r="A1633" s="4" t="s">
        <v>55</v>
      </c>
      <c r="B1633" s="7">
        <v>45931.0</v>
      </c>
      <c r="C1633" s="4" t="s">
        <v>594</v>
      </c>
      <c r="D1633" s="4" t="s">
        <v>3218</v>
      </c>
      <c r="E1633" s="8">
        <v>205.0</v>
      </c>
      <c r="F1633" s="4" t="str">
        <f t="shared" si="1"/>
        <v>500 &amp; Below</v>
      </c>
    </row>
    <row r="1634" ht="15.75" customHeight="1">
      <c r="A1634" s="4" t="s">
        <v>55</v>
      </c>
      <c r="B1634" s="7">
        <v>45931.0</v>
      </c>
      <c r="C1634" s="4" t="s">
        <v>594</v>
      </c>
      <c r="D1634" s="4" t="s">
        <v>3250</v>
      </c>
      <c r="E1634" s="8">
        <v>215.0</v>
      </c>
      <c r="F1634" s="4" t="str">
        <f t="shared" si="1"/>
        <v>500 &amp; Below</v>
      </c>
    </row>
    <row r="1635" ht="15.75" customHeight="1">
      <c r="A1635" s="4" t="s">
        <v>55</v>
      </c>
      <c r="B1635" s="7">
        <v>45931.0</v>
      </c>
      <c r="C1635" s="4" t="s">
        <v>594</v>
      </c>
      <c r="D1635" s="4" t="s">
        <v>3283</v>
      </c>
      <c r="E1635" s="8">
        <v>966.0</v>
      </c>
      <c r="F1635" s="4" t="str">
        <f t="shared" si="1"/>
        <v>Above 500</v>
      </c>
    </row>
    <row r="1636" ht="15.75" customHeight="1">
      <c r="A1636" s="4" t="s">
        <v>55</v>
      </c>
      <c r="B1636" s="7">
        <v>45931.0</v>
      </c>
      <c r="C1636" s="4" t="s">
        <v>594</v>
      </c>
      <c r="D1636" s="4" t="s">
        <v>3284</v>
      </c>
      <c r="E1636" s="8">
        <v>20.0</v>
      </c>
      <c r="F1636" s="4" t="str">
        <f t="shared" si="1"/>
        <v>500 &amp; Below</v>
      </c>
    </row>
    <row r="1637" ht="15.75" customHeight="1">
      <c r="A1637" s="4" t="s">
        <v>55</v>
      </c>
      <c r="B1637" s="7">
        <v>45931.0</v>
      </c>
      <c r="C1637" s="4" t="s">
        <v>594</v>
      </c>
      <c r="D1637" s="4" t="s">
        <v>3285</v>
      </c>
      <c r="E1637" s="8">
        <v>120.0</v>
      </c>
      <c r="F1637" s="4" t="str">
        <f t="shared" si="1"/>
        <v>500 &amp; Below</v>
      </c>
    </row>
    <row r="1638" ht="15.75" customHeight="1">
      <c r="A1638" s="4" t="s">
        <v>55</v>
      </c>
      <c r="B1638" s="7">
        <v>45931.0</v>
      </c>
      <c r="C1638" s="4" t="s">
        <v>594</v>
      </c>
      <c r="D1638" s="4" t="s">
        <v>3264</v>
      </c>
      <c r="E1638" s="8">
        <v>20.0</v>
      </c>
      <c r="F1638" s="4" t="str">
        <f t="shared" si="1"/>
        <v>500 &amp; Below</v>
      </c>
    </row>
    <row r="1639" ht="15.75" customHeight="1">
      <c r="A1639" s="4" t="s">
        <v>55</v>
      </c>
      <c r="B1639" s="7">
        <v>45931.0</v>
      </c>
      <c r="C1639" s="4" t="s">
        <v>594</v>
      </c>
      <c r="D1639" s="4" t="s">
        <v>18</v>
      </c>
      <c r="E1639" s="8">
        <v>34.3</v>
      </c>
      <c r="F1639" s="4" t="str">
        <f t="shared" si="1"/>
        <v>500 &amp; Below</v>
      </c>
    </row>
    <row r="1640" ht="15.75" customHeight="1">
      <c r="A1640" s="4" t="s">
        <v>55</v>
      </c>
      <c r="B1640" s="7">
        <v>45931.0</v>
      </c>
      <c r="C1640" s="4" t="s">
        <v>594</v>
      </c>
      <c r="D1640" s="4" t="s">
        <v>39</v>
      </c>
      <c r="E1640" s="8">
        <v>10.0</v>
      </c>
      <c r="F1640" s="4" t="str">
        <f t="shared" si="1"/>
        <v>500 &amp; Below</v>
      </c>
    </row>
    <row r="1641" ht="15.75" customHeight="1">
      <c r="A1641" s="4" t="s">
        <v>55</v>
      </c>
      <c r="B1641" s="7">
        <v>45931.0</v>
      </c>
      <c r="C1641" s="4" t="s">
        <v>594</v>
      </c>
      <c r="D1641" s="4" t="s">
        <v>1340</v>
      </c>
      <c r="E1641" s="8">
        <v>235.0</v>
      </c>
      <c r="F1641" s="4" t="str">
        <f t="shared" si="1"/>
        <v>500 &amp; Below</v>
      </c>
    </row>
    <row r="1642" ht="15.75" customHeight="1">
      <c r="A1642" s="4" t="s">
        <v>55</v>
      </c>
      <c r="B1642" s="7">
        <v>45931.0</v>
      </c>
      <c r="C1642" s="4" t="s">
        <v>594</v>
      </c>
      <c r="D1642" s="4" t="s">
        <v>1340</v>
      </c>
      <c r="E1642" s="8">
        <v>5.0</v>
      </c>
      <c r="F1642" s="4" t="str">
        <f t="shared" si="1"/>
        <v>500 &amp; Below</v>
      </c>
    </row>
    <row r="1643" ht="15.75" customHeight="1">
      <c r="A1643" s="4" t="s">
        <v>55</v>
      </c>
      <c r="B1643" s="7">
        <v>45932.0</v>
      </c>
      <c r="C1643" s="4" t="s">
        <v>594</v>
      </c>
      <c r="D1643" s="4" t="s">
        <v>1698</v>
      </c>
      <c r="E1643" s="8">
        <v>432.64</v>
      </c>
      <c r="F1643" s="4" t="str">
        <f t="shared" si="1"/>
        <v>500 &amp; Below</v>
      </c>
    </row>
    <row r="1644" ht="15.75" customHeight="1">
      <c r="A1644" s="4" t="s">
        <v>55</v>
      </c>
      <c r="B1644" s="7">
        <v>45932.0</v>
      </c>
      <c r="C1644" s="4" t="s">
        <v>594</v>
      </c>
      <c r="D1644" s="4" t="s">
        <v>826</v>
      </c>
      <c r="E1644" s="8">
        <v>70.0</v>
      </c>
      <c r="F1644" s="4" t="str">
        <f t="shared" si="1"/>
        <v>500 &amp; Below</v>
      </c>
    </row>
    <row r="1645" ht="15.75" customHeight="1">
      <c r="A1645" s="4" t="s">
        <v>55</v>
      </c>
      <c r="B1645" s="7">
        <v>45932.0</v>
      </c>
      <c r="C1645" s="4" t="s">
        <v>594</v>
      </c>
      <c r="D1645" s="4" t="s">
        <v>887</v>
      </c>
      <c r="E1645" s="8">
        <v>20.0</v>
      </c>
      <c r="F1645" s="4" t="str">
        <f t="shared" si="1"/>
        <v>500 &amp; Below</v>
      </c>
    </row>
    <row r="1646" ht="15.75" customHeight="1">
      <c r="A1646" s="4" t="s">
        <v>55</v>
      </c>
      <c r="B1646" s="7">
        <v>45932.0</v>
      </c>
      <c r="C1646" s="4" t="s">
        <v>594</v>
      </c>
      <c r="D1646" s="4" t="s">
        <v>37</v>
      </c>
      <c r="E1646" s="8">
        <v>39.0</v>
      </c>
      <c r="F1646" s="4" t="str">
        <f t="shared" si="1"/>
        <v>500 &amp; Below</v>
      </c>
    </row>
    <row r="1647" ht="15.75" customHeight="1">
      <c r="A1647" s="4" t="s">
        <v>55</v>
      </c>
      <c r="B1647" s="7">
        <v>45932.0</v>
      </c>
      <c r="C1647" s="4" t="s">
        <v>594</v>
      </c>
      <c r="D1647" s="4" t="s">
        <v>956</v>
      </c>
      <c r="E1647" s="8">
        <v>10.0</v>
      </c>
      <c r="F1647" s="4" t="str">
        <f t="shared" si="1"/>
        <v>500 &amp; Below</v>
      </c>
    </row>
    <row r="1648" ht="15.75" customHeight="1">
      <c r="A1648" s="4" t="s">
        <v>55</v>
      </c>
      <c r="B1648" s="7">
        <v>45934.0</v>
      </c>
      <c r="C1648" s="4" t="s">
        <v>594</v>
      </c>
      <c r="D1648" s="4" t="s">
        <v>79</v>
      </c>
      <c r="E1648" s="8">
        <v>20.0</v>
      </c>
      <c r="F1648" s="4" t="str">
        <f t="shared" si="1"/>
        <v>500 &amp; Below</v>
      </c>
    </row>
    <row r="1649" ht="15.75" customHeight="1">
      <c r="A1649" s="4" t="s">
        <v>55</v>
      </c>
      <c r="B1649" s="7">
        <v>45935.0</v>
      </c>
      <c r="C1649" s="4" t="s">
        <v>594</v>
      </c>
      <c r="D1649" s="4" t="s">
        <v>1190</v>
      </c>
      <c r="E1649" s="8">
        <v>330.0</v>
      </c>
      <c r="F1649" s="4" t="str">
        <f t="shared" si="1"/>
        <v>500 &amp; Below</v>
      </c>
    </row>
    <row r="1650" ht="15.75" customHeight="1">
      <c r="A1650" s="4" t="s">
        <v>55</v>
      </c>
      <c r="B1650" s="7">
        <v>45935.0</v>
      </c>
      <c r="C1650" s="4" t="s">
        <v>594</v>
      </c>
      <c r="D1650" s="4" t="s">
        <v>3286</v>
      </c>
      <c r="E1650" s="8">
        <v>140.0</v>
      </c>
      <c r="F1650" s="4" t="str">
        <f t="shared" si="1"/>
        <v>500 &amp; Below</v>
      </c>
    </row>
    <row r="1651" ht="15.75" customHeight="1">
      <c r="A1651" s="4" t="s">
        <v>55</v>
      </c>
      <c r="B1651" s="7">
        <v>45935.0</v>
      </c>
      <c r="C1651" s="4" t="s">
        <v>594</v>
      </c>
      <c r="D1651" s="4" t="s">
        <v>45</v>
      </c>
      <c r="E1651" s="8">
        <v>1015.0</v>
      </c>
      <c r="F1651" s="4" t="str">
        <f t="shared" si="1"/>
        <v>Above 500</v>
      </c>
    </row>
    <row r="1652" ht="15.75" customHeight="1">
      <c r="A1652" s="4" t="s">
        <v>55</v>
      </c>
      <c r="B1652" s="7">
        <v>45936.0</v>
      </c>
      <c r="C1652" s="4" t="s">
        <v>594</v>
      </c>
      <c r="D1652" s="4" t="s">
        <v>948</v>
      </c>
      <c r="E1652" s="8">
        <v>1.0</v>
      </c>
      <c r="F1652" s="4" t="str">
        <f t="shared" si="1"/>
        <v>500 &amp; Below</v>
      </c>
    </row>
    <row r="1653" ht="15.75" customHeight="1">
      <c r="A1653" s="4" t="s">
        <v>55</v>
      </c>
      <c r="B1653" s="7">
        <v>45936.0</v>
      </c>
      <c r="C1653" s="4" t="s">
        <v>594</v>
      </c>
      <c r="D1653" s="4" t="s">
        <v>39</v>
      </c>
      <c r="E1653" s="8">
        <v>2.0</v>
      </c>
      <c r="F1653" s="4" t="str">
        <f t="shared" si="1"/>
        <v>500 &amp; Below</v>
      </c>
    </row>
    <row r="1654" ht="15.75" customHeight="1">
      <c r="A1654" s="4" t="s">
        <v>55</v>
      </c>
      <c r="B1654" s="7">
        <v>45936.0</v>
      </c>
      <c r="C1654" s="4" t="s">
        <v>594</v>
      </c>
      <c r="D1654" s="4" t="s">
        <v>3287</v>
      </c>
      <c r="E1654" s="8">
        <v>89.0</v>
      </c>
      <c r="F1654" s="4" t="str">
        <f t="shared" si="1"/>
        <v>500 &amp; Below</v>
      </c>
    </row>
    <row r="1655" ht="15.75" customHeight="1">
      <c r="A1655" s="4" t="s">
        <v>55</v>
      </c>
      <c r="B1655" s="7">
        <v>45937.0</v>
      </c>
      <c r="C1655" s="4" t="s">
        <v>594</v>
      </c>
      <c r="D1655" s="4" t="s">
        <v>3084</v>
      </c>
      <c r="E1655" s="8">
        <v>1370.0</v>
      </c>
      <c r="F1655" s="4" t="str">
        <f t="shared" si="1"/>
        <v>Above 500</v>
      </c>
    </row>
    <row r="1656" ht="15.75" customHeight="1">
      <c r="A1656" s="4" t="s">
        <v>55</v>
      </c>
      <c r="B1656" s="7">
        <v>45937.0</v>
      </c>
      <c r="C1656" s="4" t="s">
        <v>594</v>
      </c>
      <c r="D1656" s="4" t="s">
        <v>3084</v>
      </c>
      <c r="E1656" s="8">
        <v>2180.0</v>
      </c>
      <c r="F1656" s="4" t="str">
        <f t="shared" si="1"/>
        <v>Above 500</v>
      </c>
    </row>
    <row r="1657" ht="15.75" customHeight="1">
      <c r="A1657" s="4" t="s">
        <v>55</v>
      </c>
      <c r="B1657" s="7">
        <v>45937.0</v>
      </c>
      <c r="C1657" s="4" t="s">
        <v>594</v>
      </c>
      <c r="D1657" s="4" t="s">
        <v>3288</v>
      </c>
      <c r="E1657" s="8">
        <v>1050.0</v>
      </c>
      <c r="F1657" s="4" t="str">
        <f t="shared" si="1"/>
        <v>Above 500</v>
      </c>
    </row>
    <row r="1658" ht="15.75" customHeight="1">
      <c r="A1658" s="4" t="s">
        <v>55</v>
      </c>
      <c r="B1658" s="7">
        <v>45937.0</v>
      </c>
      <c r="C1658" s="4" t="s">
        <v>594</v>
      </c>
      <c r="D1658" s="4" t="s">
        <v>3289</v>
      </c>
      <c r="E1658" s="8">
        <v>945.0</v>
      </c>
      <c r="F1658" s="4" t="str">
        <f t="shared" si="1"/>
        <v>Above 500</v>
      </c>
    </row>
    <row r="1659" ht="15.75" customHeight="1">
      <c r="A1659" s="4" t="s">
        <v>55</v>
      </c>
      <c r="B1659" s="7">
        <v>45937.0</v>
      </c>
      <c r="C1659" s="4" t="s">
        <v>594</v>
      </c>
      <c r="D1659" s="4" t="s">
        <v>3290</v>
      </c>
      <c r="E1659" s="8">
        <v>200.0</v>
      </c>
      <c r="F1659" s="4" t="str">
        <f t="shared" si="1"/>
        <v>500 &amp; Below</v>
      </c>
    </row>
    <row r="1660" ht="15.75" customHeight="1">
      <c r="A1660" s="4" t="s">
        <v>55</v>
      </c>
      <c r="B1660" s="7">
        <v>45937.0</v>
      </c>
      <c r="C1660" s="4" t="s">
        <v>594</v>
      </c>
      <c r="D1660" s="4" t="s">
        <v>3275</v>
      </c>
      <c r="E1660" s="8">
        <v>80.0</v>
      </c>
      <c r="F1660" s="4" t="str">
        <f t="shared" si="1"/>
        <v>500 &amp; Below</v>
      </c>
    </row>
    <row r="1661" ht="15.75" customHeight="1">
      <c r="A1661" s="4" t="s">
        <v>55</v>
      </c>
      <c r="B1661" s="7">
        <v>45937.0</v>
      </c>
      <c r="C1661" s="4" t="s">
        <v>594</v>
      </c>
      <c r="D1661" s="4" t="s">
        <v>1340</v>
      </c>
      <c r="E1661" s="8">
        <v>170.5</v>
      </c>
      <c r="F1661" s="4" t="str">
        <f t="shared" si="1"/>
        <v>500 &amp; Below</v>
      </c>
    </row>
    <row r="1662" ht="15.75" customHeight="1">
      <c r="A1662" s="4" t="s">
        <v>55</v>
      </c>
      <c r="B1662" s="7">
        <v>45938.0</v>
      </c>
      <c r="C1662" s="4" t="s">
        <v>594</v>
      </c>
      <c r="D1662" s="4" t="s">
        <v>2357</v>
      </c>
      <c r="E1662" s="8">
        <v>305.0</v>
      </c>
      <c r="F1662" s="4" t="str">
        <f t="shared" si="1"/>
        <v>500 &amp; Below</v>
      </c>
    </row>
    <row r="1663" ht="15.75" customHeight="1">
      <c r="A1663" s="4" t="s">
        <v>55</v>
      </c>
      <c r="B1663" s="7">
        <v>45938.0</v>
      </c>
      <c r="C1663" s="4" t="s">
        <v>594</v>
      </c>
      <c r="D1663" s="4" t="s">
        <v>3218</v>
      </c>
      <c r="E1663" s="8">
        <v>119.0</v>
      </c>
      <c r="F1663" s="4" t="str">
        <f t="shared" si="1"/>
        <v>500 &amp; Below</v>
      </c>
    </row>
    <row r="1664" ht="15.75" customHeight="1">
      <c r="A1664" s="4" t="s">
        <v>55</v>
      </c>
      <c r="B1664" s="7">
        <v>45938.0</v>
      </c>
      <c r="C1664" s="4" t="s">
        <v>594</v>
      </c>
      <c r="D1664" s="4" t="s">
        <v>1517</v>
      </c>
      <c r="E1664" s="8">
        <v>120.0</v>
      </c>
      <c r="F1664" s="4" t="str">
        <f t="shared" si="1"/>
        <v>500 &amp; Below</v>
      </c>
    </row>
    <row r="1665" ht="15.75" customHeight="1">
      <c r="A1665" s="4" t="s">
        <v>55</v>
      </c>
      <c r="B1665" s="7">
        <v>45939.0</v>
      </c>
      <c r="C1665" s="4" t="s">
        <v>594</v>
      </c>
      <c r="D1665" s="4" t="s">
        <v>3291</v>
      </c>
      <c r="E1665" s="8">
        <v>3250.0</v>
      </c>
      <c r="F1665" s="4" t="str">
        <f t="shared" si="1"/>
        <v>Above 500</v>
      </c>
    </row>
    <row r="1666" ht="15.75" customHeight="1">
      <c r="A1666" s="4" t="s">
        <v>55</v>
      </c>
      <c r="B1666" s="7">
        <v>45940.0</v>
      </c>
      <c r="C1666" s="4" t="s">
        <v>594</v>
      </c>
      <c r="D1666" s="4" t="s">
        <v>3292</v>
      </c>
      <c r="E1666" s="8">
        <v>111.0</v>
      </c>
      <c r="F1666" s="4" t="str">
        <f t="shared" si="1"/>
        <v>500 &amp; Below</v>
      </c>
    </row>
    <row r="1667" ht="15.75" customHeight="1">
      <c r="A1667" s="4" t="s">
        <v>55</v>
      </c>
      <c r="B1667" s="7">
        <v>45940.0</v>
      </c>
      <c r="C1667" s="4" t="s">
        <v>594</v>
      </c>
      <c r="D1667" s="4" t="s">
        <v>3293</v>
      </c>
      <c r="E1667" s="8">
        <v>100.0</v>
      </c>
      <c r="F1667" s="4" t="str">
        <f t="shared" si="1"/>
        <v>500 &amp; Below</v>
      </c>
    </row>
    <row r="1668" ht="15.75" customHeight="1">
      <c r="A1668" s="4" t="s">
        <v>55</v>
      </c>
      <c r="B1668" s="7">
        <v>45940.0</v>
      </c>
      <c r="C1668" s="4" t="s">
        <v>594</v>
      </c>
      <c r="D1668" s="4" t="s">
        <v>3294</v>
      </c>
      <c r="E1668" s="8">
        <v>100.0</v>
      </c>
      <c r="F1668" s="4" t="str">
        <f t="shared" si="1"/>
        <v>500 &amp; Below</v>
      </c>
    </row>
    <row r="1669" ht="15.75" customHeight="1">
      <c r="A1669" s="4" t="s">
        <v>55</v>
      </c>
      <c r="B1669" s="7">
        <v>45940.0</v>
      </c>
      <c r="C1669" s="4" t="s">
        <v>594</v>
      </c>
      <c r="D1669" s="4" t="s">
        <v>989</v>
      </c>
      <c r="E1669" s="8">
        <v>1600.0</v>
      </c>
      <c r="F1669" s="4" t="str">
        <f t="shared" si="1"/>
        <v>Above 500</v>
      </c>
    </row>
    <row r="1670" ht="15.75" customHeight="1">
      <c r="A1670" s="4" t="s">
        <v>55</v>
      </c>
      <c r="B1670" s="7">
        <v>45940.0</v>
      </c>
      <c r="C1670" s="4" t="s">
        <v>594</v>
      </c>
      <c r="D1670" s="4" t="s">
        <v>3295</v>
      </c>
      <c r="E1670" s="8">
        <v>650.0</v>
      </c>
      <c r="F1670" s="4" t="str">
        <f t="shared" si="1"/>
        <v>Above 500</v>
      </c>
    </row>
    <row r="1671" ht="15.75" customHeight="1">
      <c r="A1671" s="4" t="s">
        <v>55</v>
      </c>
      <c r="B1671" s="7">
        <v>45940.0</v>
      </c>
      <c r="C1671" s="4" t="s">
        <v>594</v>
      </c>
      <c r="D1671" s="4" t="s">
        <v>3296</v>
      </c>
      <c r="E1671" s="8">
        <v>195.0</v>
      </c>
      <c r="F1671" s="4" t="str">
        <f t="shared" si="1"/>
        <v>500 &amp; Below</v>
      </c>
    </row>
    <row r="1672" ht="15.75" customHeight="1">
      <c r="A1672" s="4" t="s">
        <v>55</v>
      </c>
      <c r="B1672" s="7">
        <v>45940.0</v>
      </c>
      <c r="C1672" s="4" t="s">
        <v>594</v>
      </c>
      <c r="D1672" s="4" t="s">
        <v>1933</v>
      </c>
      <c r="E1672" s="8">
        <v>40.0</v>
      </c>
      <c r="F1672" s="4" t="str">
        <f t="shared" si="1"/>
        <v>500 &amp; Below</v>
      </c>
    </row>
    <row r="1673" ht="15.75" customHeight="1">
      <c r="A1673" s="4" t="s">
        <v>55</v>
      </c>
      <c r="B1673" s="7">
        <v>45940.0</v>
      </c>
      <c r="C1673" s="4" t="s">
        <v>594</v>
      </c>
      <c r="D1673" s="4" t="s">
        <v>3297</v>
      </c>
      <c r="E1673" s="8">
        <v>110.0</v>
      </c>
      <c r="F1673" s="4" t="str">
        <f t="shared" si="1"/>
        <v>500 &amp; Below</v>
      </c>
    </row>
    <row r="1674" ht="15.75" customHeight="1">
      <c r="A1674" s="4" t="s">
        <v>55</v>
      </c>
      <c r="B1674" s="7">
        <v>45940.0</v>
      </c>
      <c r="C1674" s="4" t="s">
        <v>594</v>
      </c>
      <c r="D1674" s="4" t="s">
        <v>1392</v>
      </c>
      <c r="E1674" s="8">
        <v>135.0</v>
      </c>
      <c r="F1674" s="4" t="str">
        <f t="shared" si="1"/>
        <v>500 &amp; Below</v>
      </c>
    </row>
    <row r="1675" ht="15.75" customHeight="1">
      <c r="A1675" s="4" t="s">
        <v>55</v>
      </c>
      <c r="B1675" s="7">
        <v>45940.0</v>
      </c>
      <c r="C1675" s="4" t="s">
        <v>594</v>
      </c>
      <c r="D1675" s="4" t="s">
        <v>24</v>
      </c>
      <c r="E1675" s="8">
        <v>55.0</v>
      </c>
      <c r="F1675" s="4" t="str">
        <f t="shared" si="1"/>
        <v>500 &amp; Below</v>
      </c>
    </row>
    <row r="1676" ht="15.75" customHeight="1">
      <c r="A1676" s="4" t="s">
        <v>55</v>
      </c>
      <c r="B1676" s="7">
        <v>45940.0</v>
      </c>
      <c r="C1676" s="4" t="s">
        <v>594</v>
      </c>
      <c r="D1676" s="4" t="s">
        <v>37</v>
      </c>
      <c r="E1676" s="8">
        <v>19.0</v>
      </c>
      <c r="F1676" s="4" t="str">
        <f t="shared" si="1"/>
        <v>500 &amp; Below</v>
      </c>
    </row>
    <row r="1677" ht="15.75" customHeight="1">
      <c r="A1677" s="4" t="s">
        <v>55</v>
      </c>
      <c r="B1677" s="7">
        <v>45940.0</v>
      </c>
      <c r="C1677" s="4" t="s">
        <v>594</v>
      </c>
      <c r="D1677" s="4" t="s">
        <v>37</v>
      </c>
      <c r="E1677" s="8">
        <v>29.0</v>
      </c>
      <c r="F1677" s="4" t="str">
        <f t="shared" si="1"/>
        <v>500 &amp; Below</v>
      </c>
    </row>
    <row r="1678" ht="15.75" customHeight="1">
      <c r="A1678" s="4" t="s">
        <v>55</v>
      </c>
      <c r="B1678" s="7">
        <v>45940.0</v>
      </c>
      <c r="C1678" s="4" t="s">
        <v>594</v>
      </c>
      <c r="D1678" s="4" t="s">
        <v>3222</v>
      </c>
      <c r="E1678" s="8">
        <v>100.0</v>
      </c>
      <c r="F1678" s="4" t="str">
        <f t="shared" si="1"/>
        <v>500 &amp; Below</v>
      </c>
    </row>
    <row r="1679" ht="15.75" customHeight="1">
      <c r="A1679" s="4" t="s">
        <v>55</v>
      </c>
      <c r="B1679" s="7">
        <v>45940.0</v>
      </c>
      <c r="C1679" s="4" t="s">
        <v>594</v>
      </c>
      <c r="D1679" s="4" t="s">
        <v>18</v>
      </c>
      <c r="E1679" s="8">
        <v>45.95</v>
      </c>
      <c r="F1679" s="4" t="str">
        <f t="shared" si="1"/>
        <v>500 &amp; Below</v>
      </c>
    </row>
    <row r="1680" ht="15.75" customHeight="1">
      <c r="A1680" s="4" t="s">
        <v>55</v>
      </c>
      <c r="B1680" s="7">
        <v>45940.0</v>
      </c>
      <c r="C1680" s="4" t="s">
        <v>594</v>
      </c>
      <c r="D1680" s="4" t="s">
        <v>41</v>
      </c>
      <c r="E1680" s="8">
        <v>145.0</v>
      </c>
      <c r="F1680" s="4" t="str">
        <f t="shared" si="1"/>
        <v>500 &amp; Below</v>
      </c>
    </row>
    <row r="1681" ht="15.75" customHeight="1">
      <c r="A1681" s="4" t="s">
        <v>55</v>
      </c>
      <c r="B1681" s="7">
        <v>45941.0</v>
      </c>
      <c r="C1681" s="4" t="s">
        <v>594</v>
      </c>
      <c r="D1681" s="4" t="s">
        <v>3218</v>
      </c>
      <c r="E1681" s="8">
        <v>117.0</v>
      </c>
      <c r="F1681" s="4" t="str">
        <f t="shared" si="1"/>
        <v>500 &amp; Below</v>
      </c>
    </row>
    <row r="1682" ht="15.75" customHeight="1">
      <c r="A1682" s="4" t="s">
        <v>55</v>
      </c>
      <c r="B1682" s="7">
        <v>45941.0</v>
      </c>
      <c r="C1682" s="4" t="s">
        <v>594</v>
      </c>
      <c r="D1682" s="4" t="s">
        <v>1698</v>
      </c>
      <c r="E1682" s="8">
        <v>44.64</v>
      </c>
      <c r="F1682" s="4" t="str">
        <f t="shared" si="1"/>
        <v>500 &amp; Below</v>
      </c>
    </row>
    <row r="1683" ht="15.75" customHeight="1">
      <c r="A1683" s="4" t="s">
        <v>55</v>
      </c>
      <c r="B1683" s="7">
        <v>45941.0</v>
      </c>
      <c r="C1683" s="4" t="s">
        <v>594</v>
      </c>
      <c r="D1683" s="4" t="s">
        <v>36</v>
      </c>
      <c r="E1683" s="8">
        <v>1562.0</v>
      </c>
      <c r="F1683" s="4" t="str">
        <f t="shared" si="1"/>
        <v>Above 500</v>
      </c>
    </row>
    <row r="1684" ht="15.75" customHeight="1">
      <c r="A1684" s="4" t="s">
        <v>55</v>
      </c>
      <c r="B1684" s="7">
        <v>45941.0</v>
      </c>
      <c r="C1684" s="4" t="s">
        <v>594</v>
      </c>
      <c r="D1684" s="4" t="s">
        <v>36</v>
      </c>
      <c r="E1684" s="8">
        <v>2003.0</v>
      </c>
      <c r="F1684" s="4" t="str">
        <f t="shared" si="1"/>
        <v>Above 500</v>
      </c>
    </row>
    <row r="1685" ht="15.75" customHeight="1">
      <c r="A1685" s="4" t="s">
        <v>55</v>
      </c>
      <c r="B1685" s="7">
        <v>45941.0</v>
      </c>
      <c r="C1685" s="4" t="s">
        <v>594</v>
      </c>
      <c r="D1685" s="4" t="s">
        <v>3298</v>
      </c>
      <c r="E1685" s="8">
        <v>100.0</v>
      </c>
      <c r="F1685" s="4" t="str">
        <f t="shared" si="1"/>
        <v>500 &amp; Below</v>
      </c>
    </row>
    <row r="1686" ht="15.75" customHeight="1">
      <c r="A1686" s="4" t="s">
        <v>55</v>
      </c>
      <c r="B1686" s="7">
        <v>45941.0</v>
      </c>
      <c r="C1686" s="4" t="s">
        <v>594</v>
      </c>
      <c r="D1686" s="4" t="s">
        <v>3299</v>
      </c>
      <c r="E1686" s="8">
        <v>3225.0</v>
      </c>
      <c r="F1686" s="4" t="str">
        <f t="shared" si="1"/>
        <v>Above 500</v>
      </c>
    </row>
    <row r="1687" ht="15.75" customHeight="1">
      <c r="A1687" s="4" t="s">
        <v>55</v>
      </c>
      <c r="B1687" s="7">
        <v>45941.0</v>
      </c>
      <c r="C1687" s="4" t="s">
        <v>594</v>
      </c>
      <c r="D1687" s="4" t="s">
        <v>3300</v>
      </c>
      <c r="E1687" s="8">
        <v>20.0</v>
      </c>
      <c r="F1687" s="4" t="str">
        <f t="shared" si="1"/>
        <v>500 &amp; Below</v>
      </c>
    </row>
    <row r="1688" ht="15.75" customHeight="1">
      <c r="A1688" s="4" t="s">
        <v>55</v>
      </c>
      <c r="B1688" s="7">
        <v>45941.0</v>
      </c>
      <c r="C1688" s="4" t="s">
        <v>594</v>
      </c>
      <c r="D1688" s="4" t="s">
        <v>3301</v>
      </c>
      <c r="E1688" s="8">
        <v>345.0</v>
      </c>
      <c r="F1688" s="4" t="str">
        <f t="shared" si="1"/>
        <v>500 &amp; Below</v>
      </c>
    </row>
    <row r="1689" ht="15.75" customHeight="1">
      <c r="A1689" s="4" t="s">
        <v>55</v>
      </c>
      <c r="B1689" s="7">
        <v>45941.0</v>
      </c>
      <c r="C1689" s="4" t="s">
        <v>594</v>
      </c>
      <c r="D1689" s="4" t="s">
        <v>3302</v>
      </c>
      <c r="E1689" s="8">
        <v>250.0</v>
      </c>
      <c r="F1689" s="4" t="str">
        <f t="shared" si="1"/>
        <v>500 &amp; Below</v>
      </c>
    </row>
    <row r="1690" ht="15.75" customHeight="1">
      <c r="A1690" s="4" t="s">
        <v>55</v>
      </c>
      <c r="B1690" s="7">
        <v>45941.0</v>
      </c>
      <c r="C1690" s="4" t="s">
        <v>594</v>
      </c>
      <c r="D1690" s="4" t="s">
        <v>3303</v>
      </c>
      <c r="E1690" s="8">
        <v>170.0</v>
      </c>
      <c r="F1690" s="4" t="str">
        <f t="shared" si="1"/>
        <v>500 &amp; Below</v>
      </c>
    </row>
    <row r="1691" ht="15.75" customHeight="1">
      <c r="A1691" s="4" t="s">
        <v>55</v>
      </c>
      <c r="B1691" s="7">
        <v>45942.0</v>
      </c>
      <c r="C1691" s="4" t="s">
        <v>594</v>
      </c>
      <c r="D1691" s="4" t="s">
        <v>3304</v>
      </c>
      <c r="E1691" s="8">
        <v>100.0</v>
      </c>
      <c r="F1691" s="4" t="str">
        <f t="shared" si="1"/>
        <v>500 &amp; Below</v>
      </c>
    </row>
    <row r="1692" ht="15.75" customHeight="1">
      <c r="A1692" s="4" t="s">
        <v>55</v>
      </c>
      <c r="B1692" s="7">
        <v>45942.0</v>
      </c>
      <c r="C1692" s="4" t="s">
        <v>594</v>
      </c>
      <c r="D1692" s="4" t="s">
        <v>3275</v>
      </c>
      <c r="E1692" s="8">
        <v>1607.0</v>
      </c>
      <c r="F1692" s="4" t="str">
        <f t="shared" si="1"/>
        <v>Above 500</v>
      </c>
    </row>
    <row r="1693" ht="15.75" customHeight="1">
      <c r="A1693" s="4" t="s">
        <v>55</v>
      </c>
      <c r="B1693" s="7">
        <v>45942.0</v>
      </c>
      <c r="C1693" s="4" t="s">
        <v>594</v>
      </c>
      <c r="D1693" s="4" t="s">
        <v>1698</v>
      </c>
      <c r="E1693" s="8">
        <v>46.98</v>
      </c>
      <c r="F1693" s="4" t="str">
        <f t="shared" si="1"/>
        <v>500 &amp; Below</v>
      </c>
    </row>
    <row r="1694" ht="15.75" customHeight="1">
      <c r="A1694" s="4" t="s">
        <v>55</v>
      </c>
      <c r="B1694" s="7">
        <v>45942.0</v>
      </c>
      <c r="C1694" s="4" t="s">
        <v>594</v>
      </c>
      <c r="D1694" s="4" t="s">
        <v>3305</v>
      </c>
      <c r="E1694" s="8">
        <v>812.28</v>
      </c>
      <c r="F1694" s="4" t="str">
        <f t="shared" si="1"/>
        <v>Above 500</v>
      </c>
    </row>
    <row r="1695" ht="15.75" customHeight="1">
      <c r="A1695" s="4" t="s">
        <v>55</v>
      </c>
      <c r="B1695" s="7">
        <v>45942.0</v>
      </c>
      <c r="C1695" s="4" t="s">
        <v>594</v>
      </c>
      <c r="D1695" s="4" t="s">
        <v>79</v>
      </c>
      <c r="E1695" s="8">
        <v>20.0</v>
      </c>
      <c r="F1695" s="4" t="str">
        <f t="shared" si="1"/>
        <v>500 &amp; Below</v>
      </c>
    </row>
    <row r="1696" ht="15.75" customHeight="1">
      <c r="A1696" s="4" t="s">
        <v>55</v>
      </c>
      <c r="B1696" s="7">
        <v>45942.0</v>
      </c>
      <c r="C1696" s="4" t="s">
        <v>594</v>
      </c>
      <c r="D1696" s="4" t="s">
        <v>39</v>
      </c>
      <c r="E1696" s="8">
        <v>5.0</v>
      </c>
      <c r="F1696" s="4" t="str">
        <f t="shared" si="1"/>
        <v>500 &amp; Below</v>
      </c>
    </row>
    <row r="1697" ht="15.75" customHeight="1">
      <c r="A1697" s="4" t="s">
        <v>55</v>
      </c>
      <c r="B1697" s="7">
        <v>45943.0</v>
      </c>
      <c r="C1697" s="4" t="s">
        <v>594</v>
      </c>
      <c r="D1697" s="4" t="s">
        <v>37</v>
      </c>
      <c r="E1697" s="8">
        <v>29.0</v>
      </c>
      <c r="F1697" s="4" t="str">
        <f t="shared" si="1"/>
        <v>500 &amp; Below</v>
      </c>
    </row>
    <row r="1698" ht="15.75" customHeight="1">
      <c r="A1698" s="4" t="s">
        <v>55</v>
      </c>
      <c r="B1698" s="7">
        <v>45943.0</v>
      </c>
      <c r="C1698" s="4" t="s">
        <v>594</v>
      </c>
      <c r="D1698" s="4" t="s">
        <v>826</v>
      </c>
      <c r="E1698" s="8">
        <v>86.0</v>
      </c>
      <c r="F1698" s="4" t="str">
        <f t="shared" si="1"/>
        <v>500 &amp; Below</v>
      </c>
    </row>
    <row r="1699" ht="15.75" customHeight="1">
      <c r="A1699" s="4" t="s">
        <v>55</v>
      </c>
      <c r="B1699" s="7">
        <v>45943.0</v>
      </c>
      <c r="C1699" s="4" t="s">
        <v>594</v>
      </c>
      <c r="D1699" s="4" t="s">
        <v>48</v>
      </c>
      <c r="E1699" s="8">
        <v>308.0</v>
      </c>
      <c r="F1699" s="4" t="str">
        <f t="shared" si="1"/>
        <v>500 &amp; Below</v>
      </c>
    </row>
    <row r="1700" ht="15.75" customHeight="1">
      <c r="A1700" s="4" t="s">
        <v>55</v>
      </c>
      <c r="B1700" s="7">
        <v>45943.0</v>
      </c>
      <c r="C1700" s="4" t="s">
        <v>594</v>
      </c>
      <c r="D1700" s="4" t="s">
        <v>3301</v>
      </c>
      <c r="E1700" s="8">
        <v>140.0</v>
      </c>
      <c r="F1700" s="4" t="str">
        <f t="shared" si="1"/>
        <v>500 &amp; Below</v>
      </c>
    </row>
    <row r="1701" ht="15.75" customHeight="1">
      <c r="A1701" s="4" t="s">
        <v>55</v>
      </c>
      <c r="B1701" s="7">
        <v>45943.0</v>
      </c>
      <c r="C1701" s="4" t="s">
        <v>594</v>
      </c>
      <c r="D1701" s="4" t="s">
        <v>3306</v>
      </c>
      <c r="E1701" s="8">
        <v>85.0</v>
      </c>
      <c r="F1701" s="4" t="str">
        <f t="shared" si="1"/>
        <v>500 &amp; Below</v>
      </c>
    </row>
    <row r="1702" ht="15.75" customHeight="1">
      <c r="A1702" s="4" t="s">
        <v>55</v>
      </c>
      <c r="B1702" s="7">
        <v>45943.0</v>
      </c>
      <c r="C1702" s="4" t="s">
        <v>594</v>
      </c>
      <c r="D1702" s="4" t="s">
        <v>106</v>
      </c>
      <c r="E1702" s="8">
        <v>10.0</v>
      </c>
      <c r="F1702" s="4" t="str">
        <f t="shared" si="1"/>
        <v>500 &amp; Below</v>
      </c>
    </row>
    <row r="1703" ht="15.75" customHeight="1">
      <c r="A1703" s="4" t="s">
        <v>55</v>
      </c>
      <c r="B1703" s="7">
        <v>45943.0</v>
      </c>
      <c r="C1703" s="4" t="s">
        <v>594</v>
      </c>
      <c r="D1703" s="4" t="s">
        <v>36</v>
      </c>
      <c r="E1703" s="8">
        <v>4667.0</v>
      </c>
      <c r="F1703" s="4" t="str">
        <f t="shared" si="1"/>
        <v>Above 500</v>
      </c>
    </row>
    <row r="1704" ht="15.75" customHeight="1">
      <c r="A1704" s="4" t="s">
        <v>55</v>
      </c>
      <c r="B1704" s="7">
        <v>45944.0</v>
      </c>
      <c r="C1704" s="4" t="s">
        <v>594</v>
      </c>
      <c r="D1704" s="4" t="s">
        <v>3218</v>
      </c>
      <c r="E1704" s="8">
        <v>123.0</v>
      </c>
      <c r="F1704" s="4" t="str">
        <f t="shared" si="1"/>
        <v>500 &amp; Below</v>
      </c>
    </row>
    <row r="1705" ht="15.75" customHeight="1">
      <c r="A1705" s="4" t="s">
        <v>55</v>
      </c>
      <c r="B1705" s="7">
        <v>45944.0</v>
      </c>
      <c r="C1705" s="4" t="s">
        <v>594</v>
      </c>
      <c r="D1705" s="4" t="s">
        <v>3307</v>
      </c>
      <c r="E1705" s="8">
        <v>400.0</v>
      </c>
      <c r="F1705" s="4" t="str">
        <f t="shared" si="1"/>
        <v>500 &amp; Below</v>
      </c>
    </row>
    <row r="1706" ht="15.75" customHeight="1">
      <c r="A1706" s="4" t="s">
        <v>55</v>
      </c>
      <c r="B1706" s="7">
        <v>45944.0</v>
      </c>
      <c r="C1706" s="4" t="s">
        <v>594</v>
      </c>
      <c r="D1706" s="4" t="s">
        <v>3308</v>
      </c>
      <c r="E1706" s="8">
        <v>45.0</v>
      </c>
      <c r="F1706" s="4" t="str">
        <f t="shared" si="1"/>
        <v>500 &amp; Below</v>
      </c>
    </row>
    <row r="1707" ht="15.75" customHeight="1">
      <c r="A1707" s="4" t="s">
        <v>55</v>
      </c>
      <c r="B1707" s="7">
        <v>45944.0</v>
      </c>
      <c r="C1707" s="4" t="s">
        <v>594</v>
      </c>
      <c r="D1707" s="4" t="s">
        <v>3309</v>
      </c>
      <c r="E1707" s="8">
        <v>40.0</v>
      </c>
      <c r="F1707" s="4" t="str">
        <f t="shared" si="1"/>
        <v>500 &amp; Below</v>
      </c>
    </row>
    <row r="1708" ht="15.75" customHeight="1">
      <c r="A1708" s="4" t="s">
        <v>55</v>
      </c>
      <c r="B1708" s="7">
        <v>45944.0</v>
      </c>
      <c r="C1708" s="4" t="s">
        <v>594</v>
      </c>
      <c r="D1708" s="4" t="s">
        <v>1517</v>
      </c>
      <c r="E1708" s="8">
        <v>10.0</v>
      </c>
      <c r="F1708" s="4" t="str">
        <f t="shared" si="1"/>
        <v>500 &amp; Below</v>
      </c>
    </row>
    <row r="1709" ht="15.75" customHeight="1">
      <c r="A1709" s="4" t="s">
        <v>55</v>
      </c>
      <c r="B1709" s="7">
        <v>45944.0</v>
      </c>
      <c r="C1709" s="4" t="s">
        <v>594</v>
      </c>
      <c r="D1709" s="4" t="s">
        <v>3218</v>
      </c>
      <c r="E1709" s="8">
        <v>123.0</v>
      </c>
      <c r="F1709" s="4" t="str">
        <f t="shared" si="1"/>
        <v>500 &amp; Below</v>
      </c>
    </row>
    <row r="1710" ht="15.75" customHeight="1">
      <c r="A1710" s="4" t="s">
        <v>55</v>
      </c>
      <c r="B1710" s="7">
        <v>45944.0</v>
      </c>
      <c r="C1710" s="4" t="s">
        <v>594</v>
      </c>
      <c r="D1710" s="4" t="s">
        <v>1453</v>
      </c>
      <c r="E1710" s="8">
        <v>100.0</v>
      </c>
      <c r="F1710" s="4" t="str">
        <f t="shared" si="1"/>
        <v>500 &amp; Below</v>
      </c>
    </row>
    <row r="1711" ht="15.75" customHeight="1">
      <c r="A1711" s="4" t="s">
        <v>55</v>
      </c>
      <c r="B1711" s="7">
        <v>45944.0</v>
      </c>
      <c r="C1711" s="4" t="s">
        <v>594</v>
      </c>
      <c r="D1711" s="4" t="s">
        <v>3274</v>
      </c>
      <c r="E1711" s="8">
        <v>6000.0</v>
      </c>
      <c r="F1711" s="4" t="str">
        <f t="shared" si="1"/>
        <v>Above 500</v>
      </c>
    </row>
    <row r="1712" ht="15.75" customHeight="1">
      <c r="A1712" s="4" t="s">
        <v>55</v>
      </c>
      <c r="B1712" s="7">
        <v>45945.0</v>
      </c>
      <c r="C1712" s="4" t="s">
        <v>594</v>
      </c>
      <c r="D1712" s="4" t="s">
        <v>3218</v>
      </c>
      <c r="E1712" s="8">
        <v>108.0</v>
      </c>
      <c r="F1712" s="4" t="str">
        <f t="shared" si="1"/>
        <v>500 &amp; Below</v>
      </c>
    </row>
    <row r="1713" ht="15.75" customHeight="1">
      <c r="A1713" s="4" t="s">
        <v>55</v>
      </c>
      <c r="B1713" s="7">
        <v>45945.0</v>
      </c>
      <c r="C1713" s="4" t="s">
        <v>594</v>
      </c>
      <c r="D1713" s="4" t="s">
        <v>3310</v>
      </c>
      <c r="E1713" s="8">
        <v>10.0</v>
      </c>
      <c r="F1713" s="4" t="str">
        <f t="shared" si="1"/>
        <v>500 &amp; Below</v>
      </c>
    </row>
    <row r="1714" ht="15.75" customHeight="1">
      <c r="A1714" s="4" t="s">
        <v>55</v>
      </c>
      <c r="B1714" s="7">
        <v>45945.0</v>
      </c>
      <c r="C1714" s="4" t="s">
        <v>594</v>
      </c>
      <c r="D1714" s="4" t="s">
        <v>97</v>
      </c>
      <c r="E1714" s="8">
        <v>330.0</v>
      </c>
      <c r="F1714" s="4" t="str">
        <f t="shared" si="1"/>
        <v>500 &amp; Below</v>
      </c>
    </row>
    <row r="1715" ht="15.75" customHeight="1">
      <c r="A1715" s="4" t="s">
        <v>55</v>
      </c>
      <c r="B1715" s="7">
        <v>45945.0</v>
      </c>
      <c r="C1715" s="4" t="s">
        <v>594</v>
      </c>
      <c r="D1715" s="4" t="s">
        <v>37</v>
      </c>
      <c r="E1715" s="8">
        <v>29.0</v>
      </c>
      <c r="F1715" s="4" t="str">
        <f t="shared" si="1"/>
        <v>500 &amp; Below</v>
      </c>
    </row>
    <row r="1716" ht="15.75" customHeight="1">
      <c r="A1716" s="4" t="s">
        <v>55</v>
      </c>
      <c r="B1716" s="7">
        <v>45945.0</v>
      </c>
      <c r="C1716" s="4" t="s">
        <v>594</v>
      </c>
      <c r="D1716" s="4" t="s">
        <v>3311</v>
      </c>
      <c r="E1716" s="8">
        <v>90.0</v>
      </c>
      <c r="F1716" s="4" t="str">
        <f t="shared" si="1"/>
        <v>500 &amp; Below</v>
      </c>
    </row>
    <row r="1717" ht="15.75" customHeight="1">
      <c r="A1717" s="4" t="s">
        <v>55</v>
      </c>
      <c r="B1717" s="7">
        <v>45945.0</v>
      </c>
      <c r="C1717" s="4" t="s">
        <v>594</v>
      </c>
      <c r="D1717" s="4" t="s">
        <v>25</v>
      </c>
      <c r="E1717" s="8">
        <v>92.75</v>
      </c>
      <c r="F1717" s="4" t="str">
        <f t="shared" si="1"/>
        <v>500 &amp; Below</v>
      </c>
    </row>
    <row r="1718" ht="15.75" customHeight="1">
      <c r="A1718" s="4" t="s">
        <v>55</v>
      </c>
      <c r="B1718" s="7">
        <v>45945.0</v>
      </c>
      <c r="C1718" s="4" t="s">
        <v>594</v>
      </c>
      <c r="D1718" s="4" t="s">
        <v>3195</v>
      </c>
      <c r="E1718" s="8">
        <v>33.0</v>
      </c>
      <c r="F1718" s="4" t="str">
        <f t="shared" si="1"/>
        <v>500 &amp; Below</v>
      </c>
    </row>
    <row r="1719" ht="15.75" customHeight="1">
      <c r="A1719" s="4" t="s">
        <v>55</v>
      </c>
      <c r="B1719" s="7">
        <v>45945.0</v>
      </c>
      <c r="C1719" s="4" t="s">
        <v>594</v>
      </c>
      <c r="D1719" s="4" t="s">
        <v>25</v>
      </c>
      <c r="E1719" s="8">
        <v>132.5</v>
      </c>
      <c r="F1719" s="4" t="str">
        <f t="shared" si="1"/>
        <v>500 &amp; Below</v>
      </c>
    </row>
    <row r="1720" ht="15.75" customHeight="1">
      <c r="A1720" s="4" t="s">
        <v>55</v>
      </c>
      <c r="B1720" s="7">
        <v>45945.0</v>
      </c>
      <c r="C1720" s="4" t="s">
        <v>594</v>
      </c>
      <c r="D1720" s="4" t="s">
        <v>68</v>
      </c>
      <c r="E1720" s="8">
        <v>30.0</v>
      </c>
      <c r="F1720" s="4" t="str">
        <f t="shared" si="1"/>
        <v>500 &amp; Below</v>
      </c>
    </row>
    <row r="1721" ht="15.75" customHeight="1">
      <c r="A1721" s="4" t="s">
        <v>55</v>
      </c>
      <c r="B1721" s="7">
        <v>45945.0</v>
      </c>
      <c r="C1721" s="4" t="s">
        <v>594</v>
      </c>
      <c r="D1721" s="4" t="s">
        <v>3312</v>
      </c>
      <c r="E1721" s="8">
        <v>100.0</v>
      </c>
      <c r="F1721" s="4" t="str">
        <f t="shared" si="1"/>
        <v>500 &amp; Below</v>
      </c>
    </row>
    <row r="1722" ht="15.75" customHeight="1">
      <c r="A1722" s="4" t="s">
        <v>55</v>
      </c>
      <c r="B1722" s="7">
        <v>45945.0</v>
      </c>
      <c r="C1722" s="4" t="s">
        <v>594</v>
      </c>
      <c r="D1722" s="4" t="s">
        <v>3313</v>
      </c>
      <c r="E1722" s="8">
        <v>100.0</v>
      </c>
      <c r="F1722" s="4" t="str">
        <f t="shared" si="1"/>
        <v>500 &amp; Below</v>
      </c>
    </row>
    <row r="1723" ht="15.75" customHeight="1">
      <c r="A1723" s="4" t="s">
        <v>55</v>
      </c>
      <c r="B1723" s="7">
        <v>45945.0</v>
      </c>
      <c r="C1723" s="4" t="s">
        <v>594</v>
      </c>
      <c r="D1723" s="4" t="s">
        <v>106</v>
      </c>
      <c r="E1723" s="8">
        <v>10.0</v>
      </c>
      <c r="F1723" s="4" t="str">
        <f t="shared" si="1"/>
        <v>500 &amp; Below</v>
      </c>
    </row>
    <row r="1724" ht="15.75" customHeight="1">
      <c r="A1724" s="4" t="s">
        <v>55</v>
      </c>
      <c r="B1724" s="7">
        <v>45946.0</v>
      </c>
      <c r="C1724" s="4" t="s">
        <v>594</v>
      </c>
      <c r="D1724" s="4" t="s">
        <v>3314</v>
      </c>
      <c r="E1724" s="8">
        <v>5.0</v>
      </c>
      <c r="F1724" s="4" t="str">
        <f t="shared" si="1"/>
        <v>500 &amp; Below</v>
      </c>
    </row>
    <row r="1725" ht="15.75" customHeight="1">
      <c r="A1725" s="4" t="s">
        <v>55</v>
      </c>
      <c r="B1725" s="7">
        <v>45946.0</v>
      </c>
      <c r="C1725" s="4" t="s">
        <v>594</v>
      </c>
      <c r="D1725" s="4" t="s">
        <v>3290</v>
      </c>
      <c r="E1725" s="8">
        <v>400.0</v>
      </c>
      <c r="F1725" s="4" t="str">
        <f t="shared" si="1"/>
        <v>500 &amp; Below</v>
      </c>
    </row>
    <row r="1726" ht="15.75" customHeight="1">
      <c r="A1726" s="4" t="s">
        <v>55</v>
      </c>
      <c r="B1726" s="7">
        <v>45946.0</v>
      </c>
      <c r="C1726" s="4" t="s">
        <v>594</v>
      </c>
      <c r="D1726" s="4" t="s">
        <v>3315</v>
      </c>
      <c r="E1726" s="8">
        <v>40.0</v>
      </c>
      <c r="F1726" s="4" t="str">
        <f t="shared" si="1"/>
        <v>500 &amp; Below</v>
      </c>
    </row>
    <row r="1727" ht="15.75" customHeight="1">
      <c r="A1727" s="4" t="s">
        <v>55</v>
      </c>
      <c r="B1727" s="7">
        <v>45946.0</v>
      </c>
      <c r="C1727" s="4" t="s">
        <v>594</v>
      </c>
      <c r="D1727" s="4" t="s">
        <v>1365</v>
      </c>
      <c r="E1727" s="8">
        <v>10.0</v>
      </c>
      <c r="F1727" s="4" t="str">
        <f t="shared" si="1"/>
        <v>500 &amp; Below</v>
      </c>
    </row>
    <row r="1728" ht="15.75" customHeight="1">
      <c r="A1728" s="4" t="s">
        <v>55</v>
      </c>
      <c r="B1728" s="7">
        <v>45946.0</v>
      </c>
      <c r="C1728" s="4" t="s">
        <v>594</v>
      </c>
      <c r="D1728" s="4" t="s">
        <v>79</v>
      </c>
      <c r="E1728" s="8">
        <v>10.0</v>
      </c>
      <c r="F1728" s="4" t="str">
        <f t="shared" si="1"/>
        <v>500 &amp; Below</v>
      </c>
    </row>
    <row r="1729" ht="15.75" customHeight="1">
      <c r="A1729" s="4" t="s">
        <v>55</v>
      </c>
      <c r="B1729" s="7">
        <v>45947.0</v>
      </c>
      <c r="C1729" s="4" t="s">
        <v>594</v>
      </c>
      <c r="D1729" s="4" t="s">
        <v>989</v>
      </c>
      <c r="E1729" s="8">
        <v>160.0</v>
      </c>
      <c r="F1729" s="4" t="str">
        <f t="shared" si="1"/>
        <v>500 &amp; Below</v>
      </c>
    </row>
    <row r="1730" ht="15.75" customHeight="1">
      <c r="A1730" s="4" t="s">
        <v>55</v>
      </c>
      <c r="B1730" s="7">
        <v>45947.0</v>
      </c>
      <c r="C1730" s="4" t="s">
        <v>594</v>
      </c>
      <c r="D1730" s="4" t="s">
        <v>3314</v>
      </c>
      <c r="E1730" s="8">
        <v>50.0</v>
      </c>
      <c r="F1730" s="4" t="str">
        <f t="shared" si="1"/>
        <v>500 &amp; Below</v>
      </c>
    </row>
    <row r="1731" ht="15.75" customHeight="1">
      <c r="A1731" s="4" t="s">
        <v>55</v>
      </c>
      <c r="B1731" s="7">
        <v>45947.0</v>
      </c>
      <c r="C1731" s="4" t="s">
        <v>594</v>
      </c>
      <c r="D1731" s="4" t="s">
        <v>3316</v>
      </c>
      <c r="E1731" s="8">
        <v>10.0</v>
      </c>
      <c r="F1731" s="4" t="str">
        <f t="shared" si="1"/>
        <v>500 &amp; Below</v>
      </c>
    </row>
    <row r="1732" ht="15.75" customHeight="1">
      <c r="A1732" s="4" t="s">
        <v>55</v>
      </c>
      <c r="B1732" s="7">
        <v>45947.0</v>
      </c>
      <c r="C1732" s="4" t="s">
        <v>594</v>
      </c>
      <c r="D1732" s="4" t="s">
        <v>37</v>
      </c>
      <c r="E1732" s="8">
        <v>29.0</v>
      </c>
      <c r="F1732" s="4" t="str">
        <f t="shared" si="1"/>
        <v>500 &amp; Below</v>
      </c>
    </row>
    <row r="1733" ht="15.75" customHeight="1">
      <c r="A1733" s="4" t="s">
        <v>55</v>
      </c>
      <c r="B1733" s="7">
        <v>45948.0</v>
      </c>
      <c r="C1733" s="4" t="s">
        <v>594</v>
      </c>
      <c r="D1733" s="4" t="s">
        <v>3218</v>
      </c>
      <c r="E1733" s="8">
        <v>106.0</v>
      </c>
      <c r="F1733" s="4" t="str">
        <f t="shared" si="1"/>
        <v>500 &amp; Below</v>
      </c>
    </row>
    <row r="1734" ht="15.75" customHeight="1">
      <c r="A1734" s="4" t="s">
        <v>55</v>
      </c>
      <c r="B1734" s="7">
        <v>45948.0</v>
      </c>
      <c r="C1734" s="4" t="s">
        <v>594</v>
      </c>
      <c r="D1734" s="4" t="s">
        <v>37</v>
      </c>
      <c r="E1734" s="8">
        <v>299.0</v>
      </c>
      <c r="F1734" s="4" t="str">
        <f t="shared" si="1"/>
        <v>500 &amp; Below</v>
      </c>
    </row>
    <row r="1735" ht="15.75" customHeight="1">
      <c r="A1735" s="4" t="s">
        <v>55</v>
      </c>
      <c r="B1735" s="7">
        <v>45948.0</v>
      </c>
      <c r="C1735" s="4" t="s">
        <v>594</v>
      </c>
      <c r="D1735" s="4" t="s">
        <v>18</v>
      </c>
      <c r="E1735" s="8">
        <v>23.52</v>
      </c>
      <c r="F1735" s="4" t="str">
        <f t="shared" si="1"/>
        <v>500 &amp; Below</v>
      </c>
    </row>
    <row r="1736" ht="15.75" customHeight="1">
      <c r="A1736" s="4" t="s">
        <v>55</v>
      </c>
      <c r="B1736" s="7">
        <v>45948.0</v>
      </c>
      <c r="C1736" s="4" t="s">
        <v>594</v>
      </c>
      <c r="D1736" s="4" t="s">
        <v>3317</v>
      </c>
      <c r="E1736" s="8">
        <v>104.0</v>
      </c>
      <c r="F1736" s="4" t="str">
        <f t="shared" si="1"/>
        <v>500 &amp; Below</v>
      </c>
    </row>
    <row r="1737" ht="15.75" customHeight="1">
      <c r="A1737" s="4" t="s">
        <v>55</v>
      </c>
      <c r="B1737" s="7">
        <v>45948.0</v>
      </c>
      <c r="C1737" s="4" t="s">
        <v>594</v>
      </c>
      <c r="D1737" s="4" t="s">
        <v>317</v>
      </c>
      <c r="E1737" s="8">
        <v>95.0</v>
      </c>
      <c r="F1737" s="4" t="str">
        <f t="shared" si="1"/>
        <v>500 &amp; Below</v>
      </c>
    </row>
    <row r="1738" ht="15.75" customHeight="1">
      <c r="A1738" s="4" t="s">
        <v>55</v>
      </c>
      <c r="B1738" s="7">
        <v>45948.0</v>
      </c>
      <c r="C1738" s="4" t="s">
        <v>594</v>
      </c>
      <c r="D1738" s="4" t="s">
        <v>317</v>
      </c>
      <c r="E1738" s="8">
        <v>45.0</v>
      </c>
      <c r="F1738" s="4" t="str">
        <f t="shared" si="1"/>
        <v>500 &amp; Below</v>
      </c>
    </row>
    <row r="1739" ht="15.75" customHeight="1">
      <c r="A1739" s="4" t="s">
        <v>55</v>
      </c>
      <c r="B1739" s="7">
        <v>45949.0</v>
      </c>
      <c r="C1739" s="4" t="s">
        <v>594</v>
      </c>
      <c r="D1739" s="4" t="s">
        <v>3292</v>
      </c>
      <c r="E1739" s="8">
        <v>214.0</v>
      </c>
      <c r="F1739" s="4" t="str">
        <f t="shared" si="1"/>
        <v>500 &amp; Below</v>
      </c>
    </row>
    <row r="1740" ht="15.75" customHeight="1">
      <c r="A1740" s="4" t="s">
        <v>55</v>
      </c>
      <c r="B1740" s="7">
        <v>45949.0</v>
      </c>
      <c r="C1740" s="4" t="s">
        <v>594</v>
      </c>
      <c r="D1740" s="4" t="s">
        <v>675</v>
      </c>
      <c r="E1740" s="8">
        <v>50.0</v>
      </c>
      <c r="F1740" s="4" t="str">
        <f t="shared" si="1"/>
        <v>500 &amp; Below</v>
      </c>
    </row>
    <row r="1741" ht="15.75" customHeight="1">
      <c r="A1741" s="4" t="s">
        <v>55</v>
      </c>
      <c r="B1741" s="7">
        <v>45949.0</v>
      </c>
      <c r="C1741" s="4" t="s">
        <v>594</v>
      </c>
      <c r="D1741" s="4" t="s">
        <v>3318</v>
      </c>
      <c r="E1741" s="8">
        <v>420.0</v>
      </c>
      <c r="F1741" s="4" t="str">
        <f t="shared" si="1"/>
        <v>500 &amp; Below</v>
      </c>
    </row>
    <row r="1742" ht="15.75" customHeight="1">
      <c r="A1742" s="4" t="s">
        <v>55</v>
      </c>
      <c r="B1742" s="7">
        <v>45949.0</v>
      </c>
      <c r="C1742" s="4" t="s">
        <v>594</v>
      </c>
      <c r="D1742" s="4" t="s">
        <v>3190</v>
      </c>
      <c r="E1742" s="8">
        <v>100.0</v>
      </c>
      <c r="F1742" s="4" t="str">
        <f t="shared" si="1"/>
        <v>500 &amp; Below</v>
      </c>
    </row>
    <row r="1743" ht="15.75" customHeight="1">
      <c r="A1743" s="4" t="s">
        <v>55</v>
      </c>
      <c r="B1743" s="7">
        <v>45949.0</v>
      </c>
      <c r="C1743" s="4" t="s">
        <v>594</v>
      </c>
      <c r="D1743" s="4" t="s">
        <v>37</v>
      </c>
      <c r="E1743" s="8">
        <v>19.0</v>
      </c>
      <c r="F1743" s="4" t="str">
        <f t="shared" si="1"/>
        <v>500 &amp; Below</v>
      </c>
    </row>
    <row r="1744" ht="15.75" customHeight="1">
      <c r="A1744" s="4" t="s">
        <v>55</v>
      </c>
      <c r="B1744" s="7">
        <v>45950.0</v>
      </c>
      <c r="C1744" s="4" t="s">
        <v>594</v>
      </c>
      <c r="D1744" s="4" t="s">
        <v>72</v>
      </c>
      <c r="E1744" s="8">
        <v>100.0</v>
      </c>
      <c r="F1744" s="4" t="str">
        <f t="shared" si="1"/>
        <v>500 &amp; Below</v>
      </c>
    </row>
    <row r="1745" ht="15.75" customHeight="1">
      <c r="A1745" s="4" t="s">
        <v>55</v>
      </c>
      <c r="B1745" s="7">
        <v>45950.0</v>
      </c>
      <c r="C1745" s="4" t="s">
        <v>594</v>
      </c>
      <c r="D1745" s="4" t="s">
        <v>3275</v>
      </c>
      <c r="E1745" s="8">
        <v>137.0</v>
      </c>
      <c r="F1745" s="4" t="str">
        <f t="shared" si="1"/>
        <v>500 &amp; Below</v>
      </c>
    </row>
    <row r="1746" ht="15.75" customHeight="1">
      <c r="A1746" s="4" t="s">
        <v>55</v>
      </c>
      <c r="B1746" s="7">
        <v>45950.0</v>
      </c>
      <c r="C1746" s="4" t="s">
        <v>594</v>
      </c>
      <c r="D1746" s="4" t="s">
        <v>1453</v>
      </c>
      <c r="E1746" s="8">
        <v>300.0</v>
      </c>
      <c r="F1746" s="4" t="str">
        <f t="shared" si="1"/>
        <v>500 &amp; Below</v>
      </c>
    </row>
    <row r="1747" ht="15.75" customHeight="1">
      <c r="A1747" s="4" t="s">
        <v>55</v>
      </c>
      <c r="B1747" s="7">
        <v>45950.0</v>
      </c>
      <c r="C1747" s="4" t="s">
        <v>594</v>
      </c>
      <c r="D1747" s="4" t="s">
        <v>3274</v>
      </c>
      <c r="E1747" s="8">
        <v>1000.0</v>
      </c>
      <c r="F1747" s="4" t="str">
        <f t="shared" si="1"/>
        <v>Above 500</v>
      </c>
    </row>
    <row r="1748" ht="15.75" customHeight="1">
      <c r="A1748" s="4" t="s">
        <v>55</v>
      </c>
      <c r="B1748" s="7">
        <v>45950.0</v>
      </c>
      <c r="C1748" s="4" t="s">
        <v>594</v>
      </c>
      <c r="D1748" s="4" t="s">
        <v>102</v>
      </c>
      <c r="E1748" s="8">
        <v>50.0</v>
      </c>
      <c r="F1748" s="4" t="str">
        <f t="shared" si="1"/>
        <v>500 &amp; Below</v>
      </c>
    </row>
    <row r="1749" ht="15.75" customHeight="1">
      <c r="A1749" s="4" t="s">
        <v>55</v>
      </c>
      <c r="B1749" s="7">
        <v>45951.0</v>
      </c>
      <c r="C1749" s="4" t="s">
        <v>594</v>
      </c>
      <c r="D1749" s="4" t="s">
        <v>3319</v>
      </c>
      <c r="E1749" s="8">
        <v>100.0</v>
      </c>
      <c r="F1749" s="4" t="str">
        <f t="shared" si="1"/>
        <v>500 &amp; Below</v>
      </c>
    </row>
    <row r="1750" ht="15.75" customHeight="1">
      <c r="A1750" s="4" t="s">
        <v>55</v>
      </c>
      <c r="B1750" s="7">
        <v>45951.0</v>
      </c>
      <c r="C1750" s="4" t="s">
        <v>594</v>
      </c>
      <c r="D1750" s="4" t="s">
        <v>3320</v>
      </c>
      <c r="E1750" s="8">
        <v>628.0</v>
      </c>
      <c r="F1750" s="4" t="str">
        <f t="shared" si="1"/>
        <v>Above 500</v>
      </c>
    </row>
    <row r="1751" ht="15.75" customHeight="1">
      <c r="A1751" s="4" t="s">
        <v>55</v>
      </c>
      <c r="B1751" s="7">
        <v>45951.0</v>
      </c>
      <c r="C1751" s="4" t="s">
        <v>594</v>
      </c>
      <c r="D1751" s="4" t="s">
        <v>3321</v>
      </c>
      <c r="E1751" s="8">
        <v>90.0</v>
      </c>
      <c r="F1751" s="4" t="str">
        <f t="shared" si="1"/>
        <v>500 &amp; Below</v>
      </c>
    </row>
    <row r="1752" ht="15.75" customHeight="1">
      <c r="A1752" s="4" t="s">
        <v>55</v>
      </c>
      <c r="B1752" s="7">
        <v>45951.0</v>
      </c>
      <c r="C1752" s="4" t="s">
        <v>594</v>
      </c>
      <c r="D1752" s="4" t="s">
        <v>37</v>
      </c>
      <c r="E1752" s="8">
        <v>19.0</v>
      </c>
      <c r="F1752" s="4" t="str">
        <f t="shared" si="1"/>
        <v>500 &amp; Below</v>
      </c>
    </row>
    <row r="1753" ht="15.75" customHeight="1">
      <c r="A1753" s="4" t="s">
        <v>55</v>
      </c>
      <c r="B1753" s="7">
        <v>45952.0</v>
      </c>
      <c r="C1753" s="4" t="s">
        <v>594</v>
      </c>
      <c r="D1753" s="4" t="s">
        <v>37</v>
      </c>
      <c r="E1753" s="8">
        <v>29.0</v>
      </c>
      <c r="F1753" s="4" t="str">
        <f t="shared" si="1"/>
        <v>500 &amp; Below</v>
      </c>
    </row>
    <row r="1754" ht="15.75" customHeight="1">
      <c r="A1754" s="4" t="s">
        <v>55</v>
      </c>
      <c r="B1754" s="7">
        <v>45952.0</v>
      </c>
      <c r="C1754" s="4" t="s">
        <v>594</v>
      </c>
      <c r="D1754" s="4" t="s">
        <v>39</v>
      </c>
      <c r="E1754" s="8">
        <v>20.0</v>
      </c>
      <c r="F1754" s="4" t="str">
        <f t="shared" si="1"/>
        <v>500 &amp; Below</v>
      </c>
    </row>
    <row r="1755" ht="15.75" customHeight="1">
      <c r="A1755" s="4" t="s">
        <v>55</v>
      </c>
      <c r="B1755" s="7">
        <v>45952.0</v>
      </c>
      <c r="C1755" s="4" t="s">
        <v>594</v>
      </c>
      <c r="D1755" s="4" t="s">
        <v>3313</v>
      </c>
      <c r="E1755" s="8">
        <v>450.0</v>
      </c>
      <c r="F1755" s="4" t="str">
        <f t="shared" si="1"/>
        <v>500 &amp; Below</v>
      </c>
    </row>
    <row r="1756" ht="15.75" customHeight="1">
      <c r="A1756" s="4" t="s">
        <v>55</v>
      </c>
      <c r="B1756" s="7">
        <v>45952.0</v>
      </c>
      <c r="C1756" s="4" t="s">
        <v>594</v>
      </c>
      <c r="D1756" s="4" t="s">
        <v>1517</v>
      </c>
      <c r="E1756" s="8">
        <v>180.0</v>
      </c>
      <c r="F1756" s="4" t="str">
        <f t="shared" si="1"/>
        <v>500 &amp; Below</v>
      </c>
    </row>
    <row r="1757" ht="15.75" customHeight="1">
      <c r="A1757" s="4" t="s">
        <v>55</v>
      </c>
      <c r="B1757" s="7">
        <v>45952.0</v>
      </c>
      <c r="C1757" s="4" t="s">
        <v>594</v>
      </c>
      <c r="D1757" s="4" t="s">
        <v>24</v>
      </c>
      <c r="E1757" s="8">
        <v>10.0</v>
      </c>
      <c r="F1757" s="4" t="str">
        <f t="shared" si="1"/>
        <v>500 &amp; Below</v>
      </c>
    </row>
    <row r="1758" ht="15.75" customHeight="1">
      <c r="A1758" s="4" t="s">
        <v>55</v>
      </c>
      <c r="B1758" s="7">
        <v>45952.0</v>
      </c>
      <c r="C1758" s="4" t="s">
        <v>594</v>
      </c>
      <c r="D1758" s="4" t="s">
        <v>3322</v>
      </c>
      <c r="E1758" s="8">
        <v>120.0</v>
      </c>
      <c r="F1758" s="4" t="str">
        <f t="shared" si="1"/>
        <v>500 &amp; Below</v>
      </c>
    </row>
    <row r="1759" ht="15.75" customHeight="1">
      <c r="A1759" s="4" t="s">
        <v>55</v>
      </c>
      <c r="B1759" s="7">
        <v>45953.0</v>
      </c>
      <c r="C1759" s="4" t="s">
        <v>594</v>
      </c>
      <c r="D1759" s="4" t="s">
        <v>956</v>
      </c>
      <c r="E1759" s="8">
        <v>30.0</v>
      </c>
      <c r="F1759" s="4" t="str">
        <f t="shared" si="1"/>
        <v>500 &amp; Below</v>
      </c>
    </row>
    <row r="1760" ht="15.75" customHeight="1">
      <c r="A1760" s="4" t="s">
        <v>55</v>
      </c>
      <c r="B1760" s="7">
        <v>45953.0</v>
      </c>
      <c r="C1760" s="4" t="s">
        <v>594</v>
      </c>
      <c r="D1760" s="4" t="s">
        <v>3310</v>
      </c>
      <c r="E1760" s="8">
        <v>10.0</v>
      </c>
      <c r="F1760" s="4" t="str">
        <f t="shared" si="1"/>
        <v>500 &amp; Below</v>
      </c>
    </row>
    <row r="1761" ht="15.75" customHeight="1">
      <c r="A1761" s="4" t="s">
        <v>55</v>
      </c>
      <c r="B1761" s="7">
        <v>45953.0</v>
      </c>
      <c r="C1761" s="4" t="s">
        <v>594</v>
      </c>
      <c r="D1761" s="4" t="s">
        <v>79</v>
      </c>
      <c r="E1761" s="8">
        <v>10.0</v>
      </c>
      <c r="F1761" s="4" t="str">
        <f t="shared" si="1"/>
        <v>500 &amp; Below</v>
      </c>
    </row>
    <row r="1762" ht="15.75" customHeight="1">
      <c r="A1762" s="4" t="s">
        <v>55</v>
      </c>
      <c r="B1762" s="7">
        <v>45953.0</v>
      </c>
      <c r="C1762" s="4" t="s">
        <v>594</v>
      </c>
      <c r="D1762" s="4" t="s">
        <v>37</v>
      </c>
      <c r="E1762" s="8">
        <v>29.0</v>
      </c>
      <c r="F1762" s="4" t="str">
        <f t="shared" si="1"/>
        <v>500 &amp; Below</v>
      </c>
    </row>
    <row r="1763" ht="15.75" customHeight="1">
      <c r="A1763" s="4" t="s">
        <v>55</v>
      </c>
      <c r="B1763" s="7">
        <v>45953.0</v>
      </c>
      <c r="C1763" s="4" t="s">
        <v>594</v>
      </c>
      <c r="D1763" s="4" t="s">
        <v>79</v>
      </c>
      <c r="E1763" s="8">
        <v>10.0</v>
      </c>
      <c r="F1763" s="4" t="str">
        <f t="shared" si="1"/>
        <v>500 &amp; Below</v>
      </c>
    </row>
    <row r="1764" ht="15.75" customHeight="1">
      <c r="A1764" s="4" t="s">
        <v>55</v>
      </c>
      <c r="B1764" s="7">
        <v>45954.0</v>
      </c>
      <c r="C1764" s="4" t="s">
        <v>594</v>
      </c>
      <c r="D1764" s="4" t="s">
        <v>3218</v>
      </c>
      <c r="E1764" s="8">
        <v>159.0</v>
      </c>
      <c r="F1764" s="4" t="str">
        <f t="shared" si="1"/>
        <v>500 &amp; Below</v>
      </c>
    </row>
    <row r="1765" ht="15.75" customHeight="1">
      <c r="A1765" s="4" t="s">
        <v>55</v>
      </c>
      <c r="B1765" s="7">
        <v>45954.0</v>
      </c>
      <c r="C1765" s="4" t="s">
        <v>594</v>
      </c>
      <c r="D1765" s="4" t="s">
        <v>3190</v>
      </c>
      <c r="E1765" s="8">
        <v>30.0</v>
      </c>
      <c r="F1765" s="4" t="str">
        <f t="shared" si="1"/>
        <v>500 &amp; Below</v>
      </c>
    </row>
    <row r="1766" ht="15.75" customHeight="1">
      <c r="A1766" s="4" t="s">
        <v>55</v>
      </c>
      <c r="B1766" s="7">
        <v>45954.0</v>
      </c>
      <c r="C1766" s="4" t="s">
        <v>594</v>
      </c>
      <c r="D1766" s="4" t="s">
        <v>3290</v>
      </c>
      <c r="E1766" s="8">
        <v>200.0</v>
      </c>
      <c r="F1766" s="4" t="str">
        <f t="shared" si="1"/>
        <v>500 &amp; Below</v>
      </c>
    </row>
    <row r="1767" ht="15.75" customHeight="1">
      <c r="A1767" s="4" t="s">
        <v>55</v>
      </c>
      <c r="B1767" s="7">
        <v>45954.0</v>
      </c>
      <c r="C1767" s="4" t="s">
        <v>594</v>
      </c>
      <c r="D1767" s="4" t="s">
        <v>39</v>
      </c>
      <c r="E1767" s="8">
        <v>10.0</v>
      </c>
      <c r="F1767" s="4" t="str">
        <f t="shared" si="1"/>
        <v>500 &amp; Below</v>
      </c>
    </row>
    <row r="1768" ht="15.75" customHeight="1">
      <c r="A1768" s="4" t="s">
        <v>55</v>
      </c>
      <c r="B1768" s="7">
        <v>45954.0</v>
      </c>
      <c r="C1768" s="4" t="s">
        <v>594</v>
      </c>
      <c r="D1768" s="4" t="s">
        <v>1392</v>
      </c>
      <c r="E1768" s="8">
        <v>198.0</v>
      </c>
      <c r="F1768" s="4" t="str">
        <f t="shared" si="1"/>
        <v>500 &amp; Below</v>
      </c>
    </row>
    <row r="1769" ht="15.75" customHeight="1">
      <c r="A1769" s="4" t="s">
        <v>55</v>
      </c>
      <c r="B1769" s="7">
        <v>45954.0</v>
      </c>
      <c r="C1769" s="4" t="s">
        <v>594</v>
      </c>
      <c r="D1769" s="4" t="s">
        <v>18</v>
      </c>
      <c r="E1769" s="8">
        <v>288.49</v>
      </c>
      <c r="F1769" s="4" t="str">
        <f t="shared" si="1"/>
        <v>500 &amp; Below</v>
      </c>
    </row>
    <row r="1770" ht="15.75" customHeight="1">
      <c r="A1770" s="4" t="s">
        <v>55</v>
      </c>
      <c r="B1770" s="7">
        <v>45954.0</v>
      </c>
      <c r="C1770" s="4" t="s">
        <v>594</v>
      </c>
      <c r="D1770" s="4" t="s">
        <v>3323</v>
      </c>
      <c r="E1770" s="8">
        <v>80.0</v>
      </c>
      <c r="F1770" s="4" t="str">
        <f t="shared" si="1"/>
        <v>500 &amp; Below</v>
      </c>
    </row>
    <row r="1771" ht="15.75" customHeight="1">
      <c r="A1771" s="4" t="s">
        <v>55</v>
      </c>
      <c r="B1771" s="7">
        <v>45954.0</v>
      </c>
      <c r="C1771" s="4" t="s">
        <v>594</v>
      </c>
      <c r="D1771" s="4" t="s">
        <v>3193</v>
      </c>
      <c r="E1771" s="8">
        <v>10.0</v>
      </c>
      <c r="F1771" s="4" t="str">
        <f t="shared" si="1"/>
        <v>500 &amp; Below</v>
      </c>
    </row>
    <row r="1772" ht="15.75" customHeight="1">
      <c r="A1772" s="4" t="s">
        <v>55</v>
      </c>
      <c r="B1772" s="7">
        <v>45955.0</v>
      </c>
      <c r="C1772" s="4" t="s">
        <v>594</v>
      </c>
      <c r="D1772" s="4" t="s">
        <v>2597</v>
      </c>
      <c r="E1772" s="8">
        <v>1500.0</v>
      </c>
      <c r="F1772" s="4" t="str">
        <f t="shared" si="1"/>
        <v>Above 500</v>
      </c>
    </row>
    <row r="1773" ht="15.75" customHeight="1">
      <c r="A1773" s="4" t="s">
        <v>55</v>
      </c>
      <c r="B1773" s="7">
        <v>45955.0</v>
      </c>
      <c r="C1773" s="4" t="s">
        <v>594</v>
      </c>
      <c r="D1773" s="4" t="s">
        <v>3324</v>
      </c>
      <c r="E1773" s="8">
        <v>161.0</v>
      </c>
      <c r="F1773" s="4" t="str">
        <f t="shared" si="1"/>
        <v>500 &amp; Below</v>
      </c>
    </row>
    <row r="1774" ht="15.75" customHeight="1">
      <c r="A1774" s="4" t="s">
        <v>55</v>
      </c>
      <c r="B1774" s="7">
        <v>45955.0</v>
      </c>
      <c r="C1774" s="4" t="s">
        <v>594</v>
      </c>
      <c r="D1774" s="4" t="s">
        <v>37</v>
      </c>
      <c r="E1774" s="8">
        <v>29.0</v>
      </c>
      <c r="F1774" s="4" t="str">
        <f t="shared" si="1"/>
        <v>500 &amp; Below</v>
      </c>
    </row>
    <row r="1775" ht="15.75" customHeight="1">
      <c r="A1775" s="4" t="s">
        <v>55</v>
      </c>
      <c r="B1775" s="7">
        <v>45955.0</v>
      </c>
      <c r="C1775" s="4" t="s">
        <v>594</v>
      </c>
      <c r="D1775" s="4" t="s">
        <v>3325</v>
      </c>
      <c r="E1775" s="8">
        <v>3468.0</v>
      </c>
      <c r="F1775" s="4" t="str">
        <f t="shared" si="1"/>
        <v>Above 500</v>
      </c>
    </row>
    <row r="1776" ht="15.75" customHeight="1">
      <c r="A1776" s="4" t="s">
        <v>55</v>
      </c>
      <c r="B1776" s="7">
        <v>45955.0</v>
      </c>
      <c r="C1776" s="4" t="s">
        <v>594</v>
      </c>
      <c r="D1776" s="4" t="s">
        <v>2565</v>
      </c>
      <c r="E1776" s="8">
        <v>151.0</v>
      </c>
      <c r="F1776" s="4" t="str">
        <f t="shared" si="1"/>
        <v>500 &amp; Below</v>
      </c>
    </row>
    <row r="1777" ht="15.75" customHeight="1">
      <c r="A1777" s="4" t="s">
        <v>55</v>
      </c>
      <c r="B1777" s="7">
        <v>45956.0</v>
      </c>
      <c r="C1777" s="4" t="s">
        <v>594</v>
      </c>
      <c r="D1777" s="4" t="s">
        <v>124</v>
      </c>
      <c r="E1777" s="8">
        <v>299.0</v>
      </c>
      <c r="F1777" s="4" t="str">
        <f t="shared" si="1"/>
        <v>500 &amp; Below</v>
      </c>
    </row>
    <row r="1778" ht="15.75" customHeight="1">
      <c r="A1778" s="4" t="s">
        <v>55</v>
      </c>
      <c r="B1778" s="7">
        <v>45956.0</v>
      </c>
      <c r="C1778" s="4" t="s">
        <v>594</v>
      </c>
      <c r="D1778" s="4" t="s">
        <v>3326</v>
      </c>
      <c r="E1778" s="8">
        <v>50.0</v>
      </c>
      <c r="F1778" s="4" t="str">
        <f t="shared" si="1"/>
        <v>500 &amp; Below</v>
      </c>
    </row>
    <row r="1779" ht="15.75" customHeight="1">
      <c r="A1779" s="4" t="s">
        <v>55</v>
      </c>
      <c r="B1779" s="7">
        <v>45956.0</v>
      </c>
      <c r="C1779" s="4" t="s">
        <v>594</v>
      </c>
      <c r="D1779" s="4" t="s">
        <v>3327</v>
      </c>
      <c r="E1779" s="8">
        <v>283.0</v>
      </c>
      <c r="F1779" s="4" t="str">
        <f t="shared" si="1"/>
        <v>500 &amp; Below</v>
      </c>
    </row>
    <row r="1780" ht="15.75" customHeight="1">
      <c r="A1780" s="4" t="s">
        <v>55</v>
      </c>
      <c r="B1780" s="7">
        <v>45956.0</v>
      </c>
      <c r="C1780" s="4" t="s">
        <v>594</v>
      </c>
      <c r="D1780" s="4" t="s">
        <v>37</v>
      </c>
      <c r="E1780" s="8">
        <v>29.0</v>
      </c>
      <c r="F1780" s="4" t="str">
        <f t="shared" si="1"/>
        <v>500 &amp; Below</v>
      </c>
    </row>
    <row r="1781" ht="15.75" customHeight="1">
      <c r="A1781" s="4" t="s">
        <v>55</v>
      </c>
      <c r="B1781" s="7">
        <v>45956.0</v>
      </c>
      <c r="C1781" s="4" t="s">
        <v>594</v>
      </c>
      <c r="D1781" s="4" t="s">
        <v>3328</v>
      </c>
      <c r="E1781" s="8">
        <v>20.0</v>
      </c>
      <c r="F1781" s="4" t="str">
        <f t="shared" si="1"/>
        <v>500 &amp; Below</v>
      </c>
    </row>
    <row r="1782" ht="15.75" customHeight="1">
      <c r="A1782" s="4" t="s">
        <v>55</v>
      </c>
      <c r="B1782" s="7">
        <v>45957.0</v>
      </c>
      <c r="C1782" s="4" t="s">
        <v>594</v>
      </c>
      <c r="D1782" s="4" t="s">
        <v>3329</v>
      </c>
      <c r="E1782" s="8">
        <v>1000.0</v>
      </c>
      <c r="F1782" s="4" t="str">
        <f t="shared" si="1"/>
        <v>Above 500</v>
      </c>
    </row>
    <row r="1783" ht="15.75" customHeight="1">
      <c r="A1783" s="4" t="s">
        <v>55</v>
      </c>
      <c r="B1783" s="7">
        <v>45957.0</v>
      </c>
      <c r="C1783" s="4" t="s">
        <v>594</v>
      </c>
      <c r="D1783" s="4" t="s">
        <v>3330</v>
      </c>
      <c r="E1783" s="8">
        <v>30.0</v>
      </c>
      <c r="F1783" s="4" t="str">
        <f t="shared" si="1"/>
        <v>500 &amp; Below</v>
      </c>
    </row>
    <row r="1784" ht="15.75" customHeight="1">
      <c r="A1784" s="4" t="s">
        <v>55</v>
      </c>
      <c r="B1784" s="7">
        <v>45957.0</v>
      </c>
      <c r="C1784" s="4" t="s">
        <v>594</v>
      </c>
      <c r="D1784" s="4" t="s">
        <v>3331</v>
      </c>
      <c r="E1784" s="8">
        <v>30.0</v>
      </c>
      <c r="F1784" s="4" t="str">
        <f t="shared" si="1"/>
        <v>500 &amp; Below</v>
      </c>
    </row>
    <row r="1785" ht="15.75" customHeight="1">
      <c r="A1785" s="4" t="s">
        <v>55</v>
      </c>
      <c r="B1785" s="7">
        <v>45957.0</v>
      </c>
      <c r="C1785" s="4" t="s">
        <v>594</v>
      </c>
      <c r="D1785" s="4" t="s">
        <v>3332</v>
      </c>
      <c r="E1785" s="8">
        <v>695.0</v>
      </c>
      <c r="F1785" s="4" t="str">
        <f t="shared" si="1"/>
        <v>Above 500</v>
      </c>
    </row>
    <row r="1786" ht="15.75" customHeight="1">
      <c r="A1786" s="4" t="s">
        <v>55</v>
      </c>
      <c r="B1786" s="7">
        <v>45958.0</v>
      </c>
      <c r="C1786" s="4" t="s">
        <v>594</v>
      </c>
      <c r="D1786" s="4" t="s">
        <v>3333</v>
      </c>
      <c r="E1786" s="8">
        <v>660.0</v>
      </c>
      <c r="F1786" s="4" t="str">
        <f t="shared" si="1"/>
        <v>Above 500</v>
      </c>
    </row>
    <row r="1787" ht="15.75" customHeight="1">
      <c r="A1787" s="4" t="s">
        <v>55</v>
      </c>
      <c r="B1787" s="7">
        <v>45958.0</v>
      </c>
      <c r="C1787" s="4" t="s">
        <v>594</v>
      </c>
      <c r="D1787" s="4" t="s">
        <v>3334</v>
      </c>
      <c r="E1787" s="8">
        <v>50.0</v>
      </c>
      <c r="F1787" s="4" t="str">
        <f t="shared" si="1"/>
        <v>500 &amp; Below</v>
      </c>
    </row>
    <row r="1788" ht="15.75" customHeight="1">
      <c r="A1788" s="4" t="s">
        <v>55</v>
      </c>
      <c r="B1788" s="7">
        <v>45958.0</v>
      </c>
      <c r="C1788" s="4" t="s">
        <v>594</v>
      </c>
      <c r="D1788" s="4" t="s">
        <v>3332</v>
      </c>
      <c r="E1788" s="8">
        <v>683.0</v>
      </c>
      <c r="F1788" s="4" t="str">
        <f t="shared" si="1"/>
        <v>Above 500</v>
      </c>
    </row>
    <row r="1789" ht="15.75" customHeight="1">
      <c r="A1789" s="4" t="s">
        <v>55</v>
      </c>
      <c r="B1789" s="7">
        <v>45959.0</v>
      </c>
      <c r="C1789" s="4" t="s">
        <v>594</v>
      </c>
      <c r="D1789" s="4" t="s">
        <v>41</v>
      </c>
      <c r="E1789" s="8">
        <v>194.0</v>
      </c>
      <c r="F1789" s="4" t="str">
        <f t="shared" si="1"/>
        <v>500 &amp; Below</v>
      </c>
    </row>
    <row r="1790" ht="15.75" customHeight="1">
      <c r="A1790" s="4" t="s">
        <v>55</v>
      </c>
      <c r="B1790" s="7">
        <v>45959.0</v>
      </c>
      <c r="C1790" s="4" t="s">
        <v>594</v>
      </c>
      <c r="D1790" s="4" t="s">
        <v>37</v>
      </c>
      <c r="E1790" s="8">
        <v>29.0</v>
      </c>
      <c r="F1790" s="4" t="str">
        <f t="shared" si="1"/>
        <v>500 &amp; Below</v>
      </c>
    </row>
    <row r="1791" ht="15.75" customHeight="1">
      <c r="A1791" s="4" t="s">
        <v>55</v>
      </c>
      <c r="B1791" s="7">
        <v>45960.0</v>
      </c>
      <c r="C1791" s="4" t="s">
        <v>594</v>
      </c>
      <c r="D1791" s="4" t="s">
        <v>3335</v>
      </c>
      <c r="E1791" s="8">
        <v>2600.0</v>
      </c>
      <c r="F1791" s="4" t="str">
        <f t="shared" si="1"/>
        <v>Above 500</v>
      </c>
    </row>
    <row r="1792" ht="15.75" customHeight="1">
      <c r="A1792" s="4" t="s">
        <v>55</v>
      </c>
      <c r="B1792" s="7">
        <v>45960.0</v>
      </c>
      <c r="C1792" s="4" t="s">
        <v>594</v>
      </c>
      <c r="D1792" s="4" t="s">
        <v>3336</v>
      </c>
      <c r="E1792" s="8">
        <v>10.0</v>
      </c>
      <c r="F1792" s="4" t="str">
        <f t="shared" si="1"/>
        <v>500 &amp; Below</v>
      </c>
    </row>
    <row r="1793" ht="15.75" customHeight="1">
      <c r="A1793" s="4" t="s">
        <v>55</v>
      </c>
      <c r="B1793" s="7">
        <v>45960.0</v>
      </c>
      <c r="C1793" s="4" t="s">
        <v>594</v>
      </c>
      <c r="D1793" s="4" t="s">
        <v>3337</v>
      </c>
      <c r="E1793" s="8">
        <v>120.0</v>
      </c>
      <c r="F1793" s="4" t="str">
        <f t="shared" si="1"/>
        <v>500 &amp; Below</v>
      </c>
    </row>
    <row r="1794" ht="15.75" customHeight="1">
      <c r="A1794" s="4" t="s">
        <v>55</v>
      </c>
      <c r="B1794" s="7">
        <v>45960.0</v>
      </c>
      <c r="C1794" s="4" t="s">
        <v>594</v>
      </c>
      <c r="D1794" s="4" t="s">
        <v>3338</v>
      </c>
      <c r="E1794" s="8">
        <v>5133.0</v>
      </c>
      <c r="F1794" s="4" t="str">
        <f t="shared" si="1"/>
        <v>Above 500</v>
      </c>
    </row>
    <row r="1795" ht="15.75" customHeight="1">
      <c r="A1795" s="4" t="s">
        <v>55</v>
      </c>
      <c r="B1795" s="7">
        <v>45960.0</v>
      </c>
      <c r="C1795" s="4" t="s">
        <v>594</v>
      </c>
      <c r="D1795" s="4" t="s">
        <v>3339</v>
      </c>
      <c r="E1795" s="8">
        <v>1350.0</v>
      </c>
      <c r="F1795" s="4" t="str">
        <f t="shared" si="1"/>
        <v>Above 500</v>
      </c>
    </row>
    <row r="1796" ht="15.75" customHeight="1">
      <c r="A1796" s="4" t="s">
        <v>55</v>
      </c>
      <c r="B1796" s="7">
        <v>45960.0</v>
      </c>
      <c r="C1796" s="4" t="s">
        <v>594</v>
      </c>
      <c r="D1796" s="4" t="s">
        <v>3340</v>
      </c>
      <c r="E1796" s="8">
        <v>40.0</v>
      </c>
      <c r="F1796" s="4" t="str">
        <f t="shared" si="1"/>
        <v>500 &amp; Below</v>
      </c>
    </row>
    <row r="1797" ht="15.75" customHeight="1">
      <c r="A1797" s="4" t="s">
        <v>55</v>
      </c>
      <c r="B1797" s="7">
        <v>45960.0</v>
      </c>
      <c r="C1797" s="4" t="s">
        <v>594</v>
      </c>
      <c r="D1797" s="4" t="s">
        <v>3341</v>
      </c>
      <c r="E1797" s="8">
        <v>100.0</v>
      </c>
      <c r="F1797" s="4" t="str">
        <f t="shared" si="1"/>
        <v>500 &amp; Below</v>
      </c>
    </row>
    <row r="1798" ht="15.75" customHeight="1">
      <c r="A1798" s="4" t="s">
        <v>55</v>
      </c>
      <c r="B1798" s="7">
        <v>45960.0</v>
      </c>
      <c r="C1798" s="4" t="s">
        <v>594</v>
      </c>
      <c r="D1798" s="4" t="s">
        <v>3342</v>
      </c>
      <c r="E1798" s="8">
        <v>183.0</v>
      </c>
      <c r="F1798" s="4" t="str">
        <f t="shared" si="1"/>
        <v>500 &amp; Below</v>
      </c>
    </row>
    <row r="1799" ht="15.75" customHeight="1">
      <c r="A1799" s="4" t="s">
        <v>55</v>
      </c>
      <c r="B1799" s="7">
        <v>45960.0</v>
      </c>
      <c r="C1799" s="4" t="s">
        <v>594</v>
      </c>
      <c r="D1799" s="4" t="s">
        <v>3343</v>
      </c>
      <c r="E1799" s="8">
        <v>465.0</v>
      </c>
      <c r="F1799" s="4" t="str">
        <f t="shared" si="1"/>
        <v>500 &amp; Below</v>
      </c>
    </row>
    <row r="1800" ht="15.75" customHeight="1">
      <c r="A1800" s="4" t="s">
        <v>55</v>
      </c>
      <c r="B1800" s="7">
        <v>45961.0</v>
      </c>
      <c r="C1800" s="4" t="s">
        <v>594</v>
      </c>
      <c r="D1800" s="4" t="s">
        <v>3344</v>
      </c>
      <c r="E1800" s="8">
        <v>15.0</v>
      </c>
      <c r="F1800" s="4" t="str">
        <f t="shared" si="1"/>
        <v>500 &amp; Below</v>
      </c>
    </row>
    <row r="1801" ht="15.75" customHeight="1">
      <c r="A1801" s="4" t="s">
        <v>55</v>
      </c>
      <c r="B1801" s="7">
        <v>45961.0</v>
      </c>
      <c r="C1801" s="4" t="s">
        <v>594</v>
      </c>
      <c r="D1801" s="4" t="s">
        <v>3337</v>
      </c>
      <c r="E1801" s="8">
        <v>120.0</v>
      </c>
      <c r="F1801" s="4" t="str">
        <f t="shared" si="1"/>
        <v>500 &amp; Below</v>
      </c>
    </row>
    <row r="1802" ht="15.75" customHeight="1">
      <c r="A1802" s="4" t="s">
        <v>55</v>
      </c>
      <c r="B1802" s="7">
        <v>45961.0</v>
      </c>
      <c r="C1802" s="4" t="s">
        <v>594</v>
      </c>
      <c r="D1802" s="4" t="s">
        <v>3345</v>
      </c>
      <c r="E1802" s="8">
        <v>2100.0</v>
      </c>
      <c r="F1802" s="4" t="str">
        <f t="shared" si="1"/>
        <v>Above 500</v>
      </c>
    </row>
    <row r="1803" ht="15.75" customHeight="1">
      <c r="A1803" s="4" t="s">
        <v>55</v>
      </c>
      <c r="B1803" s="7">
        <v>45961.0</v>
      </c>
      <c r="C1803" s="4" t="s">
        <v>594</v>
      </c>
      <c r="D1803" s="4" t="s">
        <v>3346</v>
      </c>
      <c r="E1803" s="8">
        <v>90.0</v>
      </c>
      <c r="F1803" s="4" t="str">
        <f t="shared" si="1"/>
        <v>500 &amp; Below</v>
      </c>
    </row>
    <row r="1804" ht="15.75" customHeight="1">
      <c r="A1804" s="4" t="s">
        <v>55</v>
      </c>
      <c r="B1804" s="7">
        <v>45961.0</v>
      </c>
      <c r="C1804" s="4" t="s">
        <v>594</v>
      </c>
      <c r="D1804" s="4" t="s">
        <v>3347</v>
      </c>
      <c r="E1804" s="8">
        <v>50.0</v>
      </c>
      <c r="F1804" s="4" t="str">
        <f t="shared" si="1"/>
        <v>500 &amp; Below</v>
      </c>
    </row>
    <row r="1805" ht="15.75" customHeight="1">
      <c r="A1805" s="4" t="s">
        <v>55</v>
      </c>
      <c r="B1805" s="7">
        <v>45961.0</v>
      </c>
      <c r="C1805" s="4" t="s">
        <v>594</v>
      </c>
      <c r="D1805" s="4" t="s">
        <v>3345</v>
      </c>
      <c r="E1805" s="8">
        <v>50.0</v>
      </c>
      <c r="F1805" s="4" t="str">
        <f t="shared" si="1"/>
        <v>500 &amp; Below</v>
      </c>
    </row>
    <row r="1806" ht="15.75" customHeight="1">
      <c r="A1806" s="4" t="s">
        <v>55</v>
      </c>
      <c r="B1806" s="7">
        <v>45961.0</v>
      </c>
      <c r="C1806" s="4" t="s">
        <v>594</v>
      </c>
      <c r="D1806" s="4" t="s">
        <v>3348</v>
      </c>
      <c r="E1806" s="8">
        <v>70.0</v>
      </c>
      <c r="F1806" s="4" t="str">
        <f t="shared" si="1"/>
        <v>500 &amp; Below</v>
      </c>
    </row>
    <row r="1807" ht="15.75" customHeight="1">
      <c r="A1807" s="4" t="s">
        <v>55</v>
      </c>
      <c r="B1807" s="7">
        <v>45961.0</v>
      </c>
      <c r="C1807" s="4" t="s">
        <v>594</v>
      </c>
      <c r="D1807" s="4" t="s">
        <v>3337</v>
      </c>
      <c r="E1807" s="8">
        <v>90.0</v>
      </c>
      <c r="F1807" s="4" t="str">
        <f t="shared" si="1"/>
        <v>500 &amp; Below</v>
      </c>
    </row>
    <row r="1808" ht="15.75" customHeight="1">
      <c r="A1808" s="4" t="s">
        <v>55</v>
      </c>
      <c r="B1808" s="7">
        <v>45961.0</v>
      </c>
      <c r="C1808" s="4" t="s">
        <v>594</v>
      </c>
      <c r="D1808" s="4" t="s">
        <v>3349</v>
      </c>
      <c r="E1808" s="8">
        <v>933.0</v>
      </c>
      <c r="F1808" s="4" t="str">
        <f t="shared" si="1"/>
        <v>Above 500</v>
      </c>
    </row>
    <row r="1809" ht="15.75" customHeight="1">
      <c r="A1809" s="4" t="s">
        <v>55</v>
      </c>
      <c r="B1809" s="7">
        <v>45961.0</v>
      </c>
      <c r="C1809" s="4" t="s">
        <v>594</v>
      </c>
      <c r="D1809" s="4" t="s">
        <v>3350</v>
      </c>
      <c r="E1809" s="8">
        <v>60.0</v>
      </c>
      <c r="F1809" s="4" t="str">
        <f t="shared" si="1"/>
        <v>500 &amp; Below</v>
      </c>
    </row>
    <row r="1810" ht="15.75" customHeight="1">
      <c r="A1810" s="4" t="s">
        <v>55</v>
      </c>
      <c r="B1810" s="7">
        <v>45961.0</v>
      </c>
      <c r="C1810" s="4" t="s">
        <v>594</v>
      </c>
      <c r="D1810" s="4" t="s">
        <v>37</v>
      </c>
      <c r="E1810" s="8">
        <v>19.0</v>
      </c>
      <c r="F1810" s="4" t="str">
        <f t="shared" si="1"/>
        <v>500 &amp; Below</v>
      </c>
    </row>
    <row r="1811" ht="15.75" customHeight="1">
      <c r="A1811" s="4" t="s">
        <v>55</v>
      </c>
      <c r="B1811" s="7">
        <v>45961.0</v>
      </c>
      <c r="C1811" s="4" t="s">
        <v>594</v>
      </c>
      <c r="D1811" s="4" t="s">
        <v>3351</v>
      </c>
      <c r="E1811" s="8">
        <v>60.0</v>
      </c>
      <c r="F1811" s="4" t="str">
        <f t="shared" si="1"/>
        <v>500 &amp; Below</v>
      </c>
    </row>
    <row r="1812" ht="15.75" customHeight="1">
      <c r="A1812" s="4" t="s">
        <v>55</v>
      </c>
      <c r="B1812" s="7">
        <v>45961.0</v>
      </c>
      <c r="C1812" s="4" t="s">
        <v>594</v>
      </c>
      <c r="D1812" s="4" t="s">
        <v>3352</v>
      </c>
      <c r="E1812" s="8">
        <v>250.0</v>
      </c>
      <c r="F1812" s="4" t="str">
        <f t="shared" si="1"/>
        <v>500 &amp; Below</v>
      </c>
    </row>
    <row r="1813" ht="15.75" customHeight="1">
      <c r="A1813" s="4" t="s">
        <v>55</v>
      </c>
      <c r="B1813" s="7">
        <v>45961.0</v>
      </c>
      <c r="C1813" s="4" t="s">
        <v>594</v>
      </c>
      <c r="D1813" s="4" t="s">
        <v>3342</v>
      </c>
      <c r="E1813" s="8">
        <v>153.0</v>
      </c>
      <c r="F1813" s="4" t="str">
        <f t="shared" si="1"/>
        <v>500 &amp; Below</v>
      </c>
    </row>
    <row r="1814" ht="15.75" customHeight="1">
      <c r="A1814" s="4" t="s">
        <v>55</v>
      </c>
      <c r="B1814" s="7">
        <v>45961.0</v>
      </c>
      <c r="C1814" s="4" t="s">
        <v>594</v>
      </c>
      <c r="D1814" s="4" t="s">
        <v>3353</v>
      </c>
      <c r="E1814" s="8">
        <v>300.0</v>
      </c>
      <c r="F1814" s="4" t="str">
        <f t="shared" si="1"/>
        <v>500 &amp; Below</v>
      </c>
    </row>
    <row r="1815" ht="15.75" customHeight="1">
      <c r="A1815" s="4" t="s">
        <v>55</v>
      </c>
      <c r="B1815" s="7">
        <v>45961.0</v>
      </c>
      <c r="C1815" s="4" t="s">
        <v>594</v>
      </c>
      <c r="D1815" s="4" t="s">
        <v>3354</v>
      </c>
      <c r="E1815" s="8">
        <v>25.0</v>
      </c>
      <c r="F1815" s="4" t="str">
        <f t="shared" si="1"/>
        <v>500 &amp; Below</v>
      </c>
    </row>
    <row r="1816" ht="15.75" customHeight="1">
      <c r="A1816" s="4" t="s">
        <v>55</v>
      </c>
      <c r="B1816" s="7">
        <v>45961.0</v>
      </c>
      <c r="C1816" s="4" t="s">
        <v>594</v>
      </c>
      <c r="D1816" s="4" t="s">
        <v>3355</v>
      </c>
      <c r="E1816" s="8">
        <v>60.0</v>
      </c>
      <c r="F1816" s="4" t="str">
        <f t="shared" si="1"/>
        <v>500 &amp; Below</v>
      </c>
    </row>
    <row r="1817" ht="15.75" customHeight="1">
      <c r="A1817" s="4" t="s">
        <v>55</v>
      </c>
      <c r="B1817" s="7">
        <v>45962.0</v>
      </c>
      <c r="C1817" s="4" t="s">
        <v>631</v>
      </c>
      <c r="D1817" s="4" t="s">
        <v>3356</v>
      </c>
      <c r="E1817" s="8">
        <v>85.0</v>
      </c>
      <c r="F1817" s="4" t="str">
        <f t="shared" si="1"/>
        <v>500 &amp; Below</v>
      </c>
    </row>
    <row r="1818" ht="15.75" customHeight="1">
      <c r="A1818" s="4" t="s">
        <v>55</v>
      </c>
      <c r="B1818" s="7">
        <v>45962.0</v>
      </c>
      <c r="C1818" s="4" t="s">
        <v>631</v>
      </c>
      <c r="D1818" s="4" t="s">
        <v>3357</v>
      </c>
      <c r="E1818" s="8">
        <v>65.0</v>
      </c>
      <c r="F1818" s="4" t="str">
        <f t="shared" si="1"/>
        <v>500 &amp; Below</v>
      </c>
    </row>
    <row r="1819" ht="15.75" customHeight="1">
      <c r="A1819" s="4" t="s">
        <v>55</v>
      </c>
      <c r="B1819" s="7">
        <v>45962.0</v>
      </c>
      <c r="C1819" s="4" t="s">
        <v>631</v>
      </c>
      <c r="D1819" s="4" t="s">
        <v>3342</v>
      </c>
      <c r="E1819" s="8">
        <v>102.0</v>
      </c>
      <c r="F1819" s="4" t="str">
        <f t="shared" si="1"/>
        <v>500 &amp; Below</v>
      </c>
    </row>
    <row r="1820" ht="15.75" customHeight="1">
      <c r="A1820" s="4" t="s">
        <v>55</v>
      </c>
      <c r="B1820" s="7">
        <v>45962.0</v>
      </c>
      <c r="C1820" s="4" t="s">
        <v>631</v>
      </c>
      <c r="D1820" s="4" t="s">
        <v>3335</v>
      </c>
      <c r="E1820" s="8">
        <v>1000.0</v>
      </c>
      <c r="F1820" s="4" t="str">
        <f t="shared" si="1"/>
        <v>Above 500</v>
      </c>
    </row>
    <row r="1821" ht="15.75" customHeight="1">
      <c r="A1821" s="4" t="s">
        <v>55</v>
      </c>
      <c r="B1821" s="7">
        <v>45962.0</v>
      </c>
      <c r="C1821" s="4" t="s">
        <v>631</v>
      </c>
      <c r="D1821" s="4" t="s">
        <v>3358</v>
      </c>
      <c r="E1821" s="8">
        <v>611.0</v>
      </c>
      <c r="F1821" s="4" t="str">
        <f t="shared" si="1"/>
        <v>Above 500</v>
      </c>
    </row>
    <row r="1822" ht="15.75" customHeight="1">
      <c r="A1822" s="4" t="s">
        <v>55</v>
      </c>
      <c r="B1822" s="7">
        <v>45962.0</v>
      </c>
      <c r="C1822" s="4" t="s">
        <v>631</v>
      </c>
      <c r="D1822" s="4" t="s">
        <v>3359</v>
      </c>
      <c r="E1822" s="8">
        <v>120.0</v>
      </c>
      <c r="F1822" s="4" t="str">
        <f t="shared" si="1"/>
        <v>500 &amp; Below</v>
      </c>
    </row>
    <row r="1823" ht="15.75" customHeight="1">
      <c r="A1823" s="4" t="s">
        <v>55</v>
      </c>
      <c r="B1823" s="7">
        <v>45962.0</v>
      </c>
      <c r="C1823" s="4" t="s">
        <v>631</v>
      </c>
      <c r="D1823" s="4" t="s">
        <v>3250</v>
      </c>
      <c r="E1823" s="8">
        <v>196.0</v>
      </c>
      <c r="F1823" s="4" t="str">
        <f t="shared" si="1"/>
        <v>500 &amp; Below</v>
      </c>
    </row>
    <row r="1824" ht="15.75" customHeight="1">
      <c r="A1824" s="4" t="s">
        <v>55</v>
      </c>
      <c r="B1824" s="7">
        <v>45962.0</v>
      </c>
      <c r="C1824" s="4" t="s">
        <v>631</v>
      </c>
      <c r="D1824" s="4" t="s">
        <v>3360</v>
      </c>
      <c r="E1824" s="8">
        <v>25.0</v>
      </c>
      <c r="F1824" s="4" t="str">
        <f t="shared" si="1"/>
        <v>500 &amp; Below</v>
      </c>
    </row>
    <row r="1825" ht="15.75" customHeight="1">
      <c r="A1825" s="4" t="s">
        <v>55</v>
      </c>
      <c r="B1825" s="7">
        <v>45962.0</v>
      </c>
      <c r="C1825" s="4" t="s">
        <v>631</v>
      </c>
      <c r="D1825" s="4" t="s">
        <v>37</v>
      </c>
      <c r="E1825" s="8">
        <v>69.0</v>
      </c>
      <c r="F1825" s="4" t="str">
        <f t="shared" si="1"/>
        <v>500 &amp; Below</v>
      </c>
    </row>
    <row r="1826" ht="15.75" customHeight="1">
      <c r="A1826" s="4" t="s">
        <v>55</v>
      </c>
      <c r="B1826" s="7">
        <v>45962.0</v>
      </c>
      <c r="C1826" s="4" t="s">
        <v>631</v>
      </c>
      <c r="D1826" s="4" t="s">
        <v>3361</v>
      </c>
      <c r="E1826" s="8">
        <v>259.0</v>
      </c>
      <c r="F1826" s="4" t="str">
        <f t="shared" si="1"/>
        <v>500 &amp; Below</v>
      </c>
    </row>
    <row r="1827" ht="15.75" customHeight="1">
      <c r="A1827" s="4" t="s">
        <v>55</v>
      </c>
      <c r="B1827" s="7">
        <v>45963.0</v>
      </c>
      <c r="C1827" s="4" t="s">
        <v>631</v>
      </c>
      <c r="D1827" s="4" t="s">
        <v>3362</v>
      </c>
      <c r="E1827" s="8">
        <v>10.0</v>
      </c>
      <c r="F1827" s="4" t="str">
        <f t="shared" si="1"/>
        <v>500 &amp; Below</v>
      </c>
    </row>
    <row r="1828" ht="15.75" customHeight="1">
      <c r="A1828" s="4" t="s">
        <v>55</v>
      </c>
      <c r="B1828" s="7">
        <v>45963.0</v>
      </c>
      <c r="C1828" s="4" t="s">
        <v>631</v>
      </c>
      <c r="D1828" s="4" t="s">
        <v>3362</v>
      </c>
      <c r="E1828" s="8">
        <v>20.0</v>
      </c>
      <c r="F1828" s="4" t="str">
        <f t="shared" si="1"/>
        <v>500 &amp; Below</v>
      </c>
    </row>
    <row r="1829" ht="15.75" customHeight="1">
      <c r="A1829" s="4" t="s">
        <v>55</v>
      </c>
      <c r="B1829" s="7">
        <v>45963.0</v>
      </c>
      <c r="C1829" s="4" t="s">
        <v>631</v>
      </c>
      <c r="D1829" s="4" t="s">
        <v>3363</v>
      </c>
      <c r="E1829" s="8">
        <v>390.0</v>
      </c>
      <c r="F1829" s="4" t="str">
        <f t="shared" si="1"/>
        <v>500 &amp; Below</v>
      </c>
    </row>
    <row r="1830" ht="15.75" customHeight="1">
      <c r="A1830" s="4" t="s">
        <v>55</v>
      </c>
      <c r="B1830" s="7">
        <v>45963.0</v>
      </c>
      <c r="C1830" s="4" t="s">
        <v>631</v>
      </c>
      <c r="D1830" s="4" t="s">
        <v>3364</v>
      </c>
      <c r="E1830" s="8">
        <v>20.0</v>
      </c>
      <c r="F1830" s="4" t="str">
        <f t="shared" si="1"/>
        <v>500 &amp; Below</v>
      </c>
    </row>
    <row r="1831" ht="15.75" customHeight="1">
      <c r="A1831" s="4" t="s">
        <v>55</v>
      </c>
      <c r="B1831" s="7">
        <v>45963.0</v>
      </c>
      <c r="C1831" s="4" t="s">
        <v>631</v>
      </c>
      <c r="D1831" s="4" t="s">
        <v>3365</v>
      </c>
      <c r="E1831" s="8">
        <v>228.0</v>
      </c>
      <c r="F1831" s="4" t="str">
        <f t="shared" si="1"/>
        <v>500 &amp; Below</v>
      </c>
    </row>
    <row r="1832" ht="15.75" customHeight="1">
      <c r="A1832" s="4" t="s">
        <v>55</v>
      </c>
      <c r="B1832" s="7">
        <v>45963.0</v>
      </c>
      <c r="C1832" s="4" t="s">
        <v>631</v>
      </c>
      <c r="D1832" s="4" t="s">
        <v>3366</v>
      </c>
      <c r="E1832" s="8">
        <v>300.0</v>
      </c>
      <c r="F1832" s="4" t="str">
        <f t="shared" si="1"/>
        <v>500 &amp; Below</v>
      </c>
    </row>
    <row r="1833" ht="15.75" customHeight="1">
      <c r="A1833" s="4" t="s">
        <v>55</v>
      </c>
      <c r="B1833" s="7">
        <v>45963.0</v>
      </c>
      <c r="C1833" s="4" t="s">
        <v>631</v>
      </c>
      <c r="D1833" s="4" t="s">
        <v>3367</v>
      </c>
      <c r="E1833" s="8">
        <v>48.0</v>
      </c>
      <c r="F1833" s="4" t="str">
        <f t="shared" si="1"/>
        <v>500 &amp; Below</v>
      </c>
    </row>
    <row r="1834" ht="15.75" customHeight="1">
      <c r="A1834" s="4" t="s">
        <v>55</v>
      </c>
      <c r="B1834" s="7">
        <v>45963.0</v>
      </c>
      <c r="C1834" s="4" t="s">
        <v>631</v>
      </c>
      <c r="D1834" s="4" t="s">
        <v>3368</v>
      </c>
      <c r="E1834" s="8">
        <v>1000.0</v>
      </c>
      <c r="F1834" s="4" t="str">
        <f t="shared" si="1"/>
        <v>Above 500</v>
      </c>
    </row>
    <row r="1835" ht="15.75" customHeight="1">
      <c r="A1835" s="4" t="s">
        <v>55</v>
      </c>
      <c r="B1835" s="7">
        <v>45964.0</v>
      </c>
      <c r="C1835" s="4" t="s">
        <v>631</v>
      </c>
      <c r="D1835" s="4" t="s">
        <v>2928</v>
      </c>
      <c r="E1835" s="8">
        <v>2500.0</v>
      </c>
      <c r="F1835" s="4" t="str">
        <f t="shared" si="1"/>
        <v>Above 500</v>
      </c>
    </row>
    <row r="1836" ht="15.75" customHeight="1">
      <c r="A1836" s="4" t="s">
        <v>55</v>
      </c>
      <c r="B1836" s="7">
        <v>45964.0</v>
      </c>
      <c r="C1836" s="4" t="s">
        <v>631</v>
      </c>
      <c r="D1836" s="4" t="s">
        <v>3367</v>
      </c>
      <c r="E1836" s="8">
        <v>81.0</v>
      </c>
      <c r="F1836" s="4" t="str">
        <f t="shared" si="1"/>
        <v>500 &amp; Below</v>
      </c>
    </row>
    <row r="1837" ht="15.75" customHeight="1">
      <c r="A1837" s="4" t="s">
        <v>55</v>
      </c>
      <c r="B1837" s="7">
        <v>45964.0</v>
      </c>
      <c r="C1837" s="4" t="s">
        <v>631</v>
      </c>
      <c r="D1837" s="4" t="s">
        <v>3365</v>
      </c>
      <c r="E1837" s="8">
        <v>228.0</v>
      </c>
      <c r="F1837" s="4" t="str">
        <f t="shared" si="1"/>
        <v>500 &amp; Below</v>
      </c>
    </row>
    <row r="1838" ht="15.75" customHeight="1">
      <c r="A1838" s="4" t="s">
        <v>55</v>
      </c>
      <c r="B1838" s="7">
        <v>45964.0</v>
      </c>
      <c r="C1838" s="4" t="s">
        <v>631</v>
      </c>
      <c r="D1838" s="4" t="s">
        <v>3369</v>
      </c>
      <c r="E1838" s="8">
        <v>50.0</v>
      </c>
      <c r="F1838" s="4" t="str">
        <f t="shared" si="1"/>
        <v>500 &amp; Below</v>
      </c>
    </row>
    <row r="1839" ht="15.75" customHeight="1">
      <c r="A1839" s="4" t="s">
        <v>55</v>
      </c>
      <c r="B1839" s="7">
        <v>45964.0</v>
      </c>
      <c r="C1839" s="4" t="s">
        <v>631</v>
      </c>
      <c r="D1839" s="4" t="s">
        <v>3370</v>
      </c>
      <c r="E1839" s="8">
        <v>150.0</v>
      </c>
      <c r="F1839" s="4" t="str">
        <f t="shared" si="1"/>
        <v>500 &amp; Below</v>
      </c>
    </row>
    <row r="1840" ht="15.75" customHeight="1">
      <c r="A1840" s="4" t="s">
        <v>55</v>
      </c>
      <c r="B1840" s="7">
        <v>45964.0</v>
      </c>
      <c r="C1840" s="4" t="s">
        <v>631</v>
      </c>
      <c r="D1840" s="4" t="s">
        <v>3370</v>
      </c>
      <c r="E1840" s="8">
        <v>299.0</v>
      </c>
      <c r="F1840" s="4" t="str">
        <f t="shared" si="1"/>
        <v>500 &amp; Below</v>
      </c>
    </row>
    <row r="1841" ht="15.75" customHeight="1">
      <c r="A1841" s="4" t="s">
        <v>55</v>
      </c>
      <c r="B1841" s="7">
        <v>45964.0</v>
      </c>
      <c r="C1841" s="4" t="s">
        <v>631</v>
      </c>
      <c r="D1841" s="4" t="s">
        <v>3371</v>
      </c>
      <c r="E1841" s="8">
        <v>300.0</v>
      </c>
      <c r="F1841" s="4" t="str">
        <f t="shared" si="1"/>
        <v>500 &amp; Below</v>
      </c>
    </row>
    <row r="1842" ht="15.75" customHeight="1">
      <c r="A1842" s="4" t="s">
        <v>55</v>
      </c>
      <c r="B1842" s="7">
        <v>45964.0</v>
      </c>
      <c r="C1842" s="4" t="s">
        <v>631</v>
      </c>
      <c r="D1842" s="4" t="s">
        <v>3372</v>
      </c>
      <c r="E1842" s="8">
        <v>20.0</v>
      </c>
      <c r="F1842" s="4" t="str">
        <f t="shared" si="1"/>
        <v>500 &amp; Below</v>
      </c>
    </row>
    <row r="1843" ht="15.75" customHeight="1">
      <c r="A1843" s="4" t="s">
        <v>55</v>
      </c>
      <c r="B1843" s="7">
        <v>45964.0</v>
      </c>
      <c r="C1843" s="4" t="s">
        <v>631</v>
      </c>
      <c r="D1843" s="4" t="s">
        <v>3373</v>
      </c>
      <c r="E1843" s="8">
        <v>28.0</v>
      </c>
      <c r="F1843" s="4" t="str">
        <f t="shared" si="1"/>
        <v>500 &amp; Below</v>
      </c>
    </row>
    <row r="1844" ht="15.75" customHeight="1">
      <c r="A1844" s="4" t="s">
        <v>55</v>
      </c>
      <c r="B1844" s="7">
        <v>45964.0</v>
      </c>
      <c r="C1844" s="4" t="s">
        <v>631</v>
      </c>
      <c r="D1844" s="4" t="s">
        <v>3374</v>
      </c>
      <c r="E1844" s="8">
        <v>150.0</v>
      </c>
      <c r="F1844" s="4" t="str">
        <f t="shared" si="1"/>
        <v>500 &amp; Below</v>
      </c>
    </row>
    <row r="1845" ht="15.75" customHeight="1">
      <c r="A1845" s="4" t="s">
        <v>55</v>
      </c>
      <c r="B1845" s="7">
        <v>45964.0</v>
      </c>
      <c r="C1845" s="4" t="s">
        <v>631</v>
      </c>
      <c r="D1845" s="4" t="s">
        <v>3375</v>
      </c>
      <c r="E1845" s="8">
        <v>100.0</v>
      </c>
      <c r="F1845" s="4" t="str">
        <f t="shared" si="1"/>
        <v>500 &amp; Below</v>
      </c>
    </row>
    <row r="1846" ht="15.75" customHeight="1">
      <c r="A1846" s="4" t="s">
        <v>55</v>
      </c>
      <c r="B1846" s="7">
        <v>45965.0</v>
      </c>
      <c r="C1846" s="4" t="s">
        <v>631</v>
      </c>
      <c r="D1846" s="4" t="s">
        <v>3376</v>
      </c>
      <c r="E1846" s="8">
        <v>310.0</v>
      </c>
      <c r="F1846" s="4" t="str">
        <f t="shared" si="1"/>
        <v>500 &amp; Below</v>
      </c>
    </row>
    <row r="1847" ht="15.75" customHeight="1">
      <c r="A1847" s="4" t="s">
        <v>55</v>
      </c>
      <c r="B1847" s="7">
        <v>45965.0</v>
      </c>
      <c r="C1847" s="4" t="s">
        <v>631</v>
      </c>
      <c r="D1847" s="4" t="s">
        <v>3377</v>
      </c>
      <c r="E1847" s="8">
        <v>180.0</v>
      </c>
      <c r="F1847" s="4" t="str">
        <f t="shared" si="1"/>
        <v>500 &amp; Below</v>
      </c>
    </row>
    <row r="1848" ht="15.75" customHeight="1">
      <c r="A1848" s="4" t="s">
        <v>55</v>
      </c>
      <c r="B1848" s="7">
        <v>45965.0</v>
      </c>
      <c r="C1848" s="4" t="s">
        <v>631</v>
      </c>
      <c r="D1848" s="4" t="s">
        <v>3378</v>
      </c>
      <c r="E1848" s="8">
        <v>360.0</v>
      </c>
      <c r="F1848" s="4" t="str">
        <f t="shared" si="1"/>
        <v>500 &amp; Below</v>
      </c>
    </row>
    <row r="1849" ht="15.75" customHeight="1">
      <c r="A1849" s="4" t="s">
        <v>55</v>
      </c>
      <c r="B1849" s="7">
        <v>45965.0</v>
      </c>
      <c r="C1849" s="4" t="s">
        <v>631</v>
      </c>
      <c r="D1849" s="4" t="s">
        <v>3378</v>
      </c>
      <c r="E1849" s="8">
        <v>40.0</v>
      </c>
      <c r="F1849" s="4" t="str">
        <f t="shared" si="1"/>
        <v>500 &amp; Below</v>
      </c>
    </row>
    <row r="1850" ht="15.75" customHeight="1">
      <c r="A1850" s="4" t="s">
        <v>55</v>
      </c>
      <c r="B1850" s="7">
        <v>45965.0</v>
      </c>
      <c r="C1850" s="4" t="s">
        <v>631</v>
      </c>
      <c r="D1850" s="4" t="s">
        <v>3378</v>
      </c>
      <c r="E1850" s="8">
        <v>30.0</v>
      </c>
      <c r="F1850" s="4" t="str">
        <f t="shared" si="1"/>
        <v>500 &amp; Below</v>
      </c>
    </row>
    <row r="1851" ht="15.75" customHeight="1">
      <c r="A1851" s="4" t="s">
        <v>55</v>
      </c>
      <c r="B1851" s="7">
        <v>45965.0</v>
      </c>
      <c r="C1851" s="4" t="s">
        <v>631</v>
      </c>
      <c r="D1851" s="4" t="s">
        <v>3379</v>
      </c>
      <c r="E1851" s="8">
        <v>80.0</v>
      </c>
      <c r="F1851" s="4" t="str">
        <f t="shared" si="1"/>
        <v>500 &amp; Below</v>
      </c>
    </row>
    <row r="1852" ht="15.75" customHeight="1">
      <c r="A1852" s="4" t="s">
        <v>55</v>
      </c>
      <c r="B1852" s="7">
        <v>45965.0</v>
      </c>
      <c r="C1852" s="4" t="s">
        <v>631</v>
      </c>
      <c r="D1852" s="4" t="s">
        <v>3380</v>
      </c>
      <c r="E1852" s="8">
        <v>90.0</v>
      </c>
      <c r="F1852" s="4" t="str">
        <f t="shared" si="1"/>
        <v>500 &amp; Below</v>
      </c>
    </row>
    <row r="1853" ht="15.75" customHeight="1">
      <c r="A1853" s="4" t="s">
        <v>55</v>
      </c>
      <c r="B1853" s="7">
        <v>45965.0</v>
      </c>
      <c r="C1853" s="4" t="s">
        <v>631</v>
      </c>
      <c r="D1853" s="4" t="s">
        <v>3368</v>
      </c>
      <c r="E1853" s="8">
        <v>1500.0</v>
      </c>
      <c r="F1853" s="4" t="str">
        <f t="shared" si="1"/>
        <v>Above 500</v>
      </c>
    </row>
    <row r="1854" ht="15.75" customHeight="1">
      <c r="A1854" s="4" t="s">
        <v>55</v>
      </c>
      <c r="B1854" s="7">
        <v>45965.0</v>
      </c>
      <c r="C1854" s="4" t="s">
        <v>631</v>
      </c>
      <c r="D1854" s="4" t="s">
        <v>191</v>
      </c>
      <c r="E1854" s="8">
        <v>345.0</v>
      </c>
      <c r="F1854" s="4" t="str">
        <f t="shared" si="1"/>
        <v>500 &amp; Below</v>
      </c>
    </row>
    <row r="1855" ht="15.75" customHeight="1">
      <c r="A1855" s="4" t="s">
        <v>55</v>
      </c>
      <c r="B1855" s="7">
        <v>45965.0</v>
      </c>
      <c r="C1855" s="4" t="s">
        <v>631</v>
      </c>
      <c r="D1855" s="4" t="s">
        <v>3381</v>
      </c>
      <c r="E1855" s="8">
        <v>40.0</v>
      </c>
      <c r="F1855" s="4" t="str">
        <f t="shared" si="1"/>
        <v>500 &amp; Below</v>
      </c>
    </row>
    <row r="1856" ht="15.75" customHeight="1">
      <c r="A1856" s="4" t="s">
        <v>55</v>
      </c>
      <c r="B1856" s="7">
        <v>45966.0</v>
      </c>
      <c r="C1856" s="4" t="s">
        <v>631</v>
      </c>
      <c r="D1856" s="4" t="s">
        <v>3376</v>
      </c>
      <c r="E1856" s="8">
        <v>311.0</v>
      </c>
      <c r="F1856" s="4" t="str">
        <f t="shared" si="1"/>
        <v>500 &amp; Below</v>
      </c>
    </row>
    <row r="1857" ht="15.75" customHeight="1">
      <c r="A1857" s="4" t="s">
        <v>55</v>
      </c>
      <c r="B1857" s="7">
        <v>45966.0</v>
      </c>
      <c r="C1857" s="4" t="s">
        <v>631</v>
      </c>
      <c r="D1857" s="4" t="s">
        <v>3382</v>
      </c>
      <c r="E1857" s="8">
        <v>300.0</v>
      </c>
      <c r="F1857" s="4" t="str">
        <f t="shared" si="1"/>
        <v>500 &amp; Below</v>
      </c>
    </row>
    <row r="1858" ht="15.75" customHeight="1">
      <c r="A1858" s="4" t="s">
        <v>55</v>
      </c>
      <c r="B1858" s="7">
        <v>45966.0</v>
      </c>
      <c r="C1858" s="4" t="s">
        <v>631</v>
      </c>
      <c r="D1858" s="4" t="s">
        <v>3383</v>
      </c>
      <c r="E1858" s="8">
        <v>90.0</v>
      </c>
      <c r="F1858" s="4" t="str">
        <f t="shared" si="1"/>
        <v>500 &amp; Below</v>
      </c>
    </row>
    <row r="1859" ht="15.75" customHeight="1">
      <c r="A1859" s="4" t="s">
        <v>55</v>
      </c>
      <c r="B1859" s="7">
        <v>45966.0</v>
      </c>
      <c r="C1859" s="4" t="s">
        <v>631</v>
      </c>
      <c r="D1859" s="4" t="s">
        <v>3368</v>
      </c>
      <c r="E1859" s="8">
        <v>500.0</v>
      </c>
      <c r="F1859" s="4" t="str">
        <f t="shared" si="1"/>
        <v>500 &amp; Below</v>
      </c>
    </row>
    <row r="1860" ht="15.75" customHeight="1">
      <c r="A1860" s="4" t="s">
        <v>55</v>
      </c>
      <c r="B1860" s="7">
        <v>45966.0</v>
      </c>
      <c r="C1860" s="4" t="s">
        <v>631</v>
      </c>
      <c r="D1860" s="4" t="s">
        <v>3384</v>
      </c>
      <c r="E1860" s="8">
        <v>50.0</v>
      </c>
      <c r="F1860" s="4" t="str">
        <f t="shared" si="1"/>
        <v>500 &amp; Below</v>
      </c>
    </row>
    <row r="1861" ht="15.75" customHeight="1">
      <c r="A1861" s="4" t="s">
        <v>55</v>
      </c>
      <c r="B1861" s="7">
        <v>45966.0</v>
      </c>
      <c r="C1861" s="4" t="s">
        <v>631</v>
      </c>
      <c r="D1861" s="4" t="s">
        <v>3385</v>
      </c>
      <c r="E1861" s="8">
        <v>60.0</v>
      </c>
      <c r="F1861" s="4" t="str">
        <f t="shared" si="1"/>
        <v>500 &amp; Below</v>
      </c>
    </row>
    <row r="1862" ht="15.75" customHeight="1">
      <c r="A1862" s="4" t="s">
        <v>55</v>
      </c>
      <c r="B1862" s="7">
        <v>45966.0</v>
      </c>
      <c r="C1862" s="4" t="s">
        <v>631</v>
      </c>
      <c r="D1862" s="4" t="s">
        <v>191</v>
      </c>
      <c r="E1862" s="8">
        <v>340.0</v>
      </c>
      <c r="F1862" s="4" t="str">
        <f t="shared" si="1"/>
        <v>500 &amp; Below</v>
      </c>
    </row>
    <row r="1863" ht="15.75" customHeight="1">
      <c r="A1863" s="4" t="s">
        <v>55</v>
      </c>
      <c r="B1863" s="7">
        <v>45967.0</v>
      </c>
      <c r="C1863" s="4" t="s">
        <v>631</v>
      </c>
      <c r="D1863" s="4" t="s">
        <v>3386</v>
      </c>
      <c r="E1863" s="8">
        <v>40.0</v>
      </c>
      <c r="F1863" s="4" t="str">
        <f t="shared" si="1"/>
        <v>500 &amp; Below</v>
      </c>
    </row>
    <row r="1864" ht="15.75" customHeight="1">
      <c r="A1864" s="4" t="s">
        <v>55</v>
      </c>
      <c r="B1864" s="7">
        <v>45967.0</v>
      </c>
      <c r="C1864" s="4" t="s">
        <v>631</v>
      </c>
      <c r="D1864" s="4" t="s">
        <v>3387</v>
      </c>
      <c r="E1864" s="8">
        <v>85.0</v>
      </c>
      <c r="F1864" s="4" t="str">
        <f t="shared" si="1"/>
        <v>500 &amp; Below</v>
      </c>
    </row>
    <row r="1865" ht="15.75" customHeight="1">
      <c r="A1865" s="4" t="s">
        <v>55</v>
      </c>
      <c r="B1865" s="7">
        <v>45967.0</v>
      </c>
      <c r="C1865" s="4" t="s">
        <v>631</v>
      </c>
      <c r="D1865" s="4" t="s">
        <v>3388</v>
      </c>
      <c r="E1865" s="8">
        <v>150.0</v>
      </c>
      <c r="F1865" s="4" t="str">
        <f t="shared" si="1"/>
        <v>500 &amp; Below</v>
      </c>
    </row>
    <row r="1866" ht="15.75" customHeight="1">
      <c r="A1866" s="4" t="s">
        <v>55</v>
      </c>
      <c r="B1866" s="7">
        <v>45967.0</v>
      </c>
      <c r="C1866" s="4" t="s">
        <v>631</v>
      </c>
      <c r="D1866" s="4" t="s">
        <v>3389</v>
      </c>
      <c r="E1866" s="8">
        <v>60.0</v>
      </c>
      <c r="F1866" s="4" t="str">
        <f t="shared" si="1"/>
        <v>500 &amp; Below</v>
      </c>
    </row>
    <row r="1867" ht="15.75" customHeight="1">
      <c r="A1867" s="4" t="s">
        <v>55</v>
      </c>
      <c r="B1867" s="7">
        <v>45967.0</v>
      </c>
      <c r="C1867" s="4" t="s">
        <v>631</v>
      </c>
      <c r="D1867" s="4" t="s">
        <v>3390</v>
      </c>
      <c r="E1867" s="8">
        <v>300.0</v>
      </c>
      <c r="F1867" s="4" t="str">
        <f t="shared" si="1"/>
        <v>500 &amp; Below</v>
      </c>
    </row>
    <row r="1868" ht="15.75" customHeight="1">
      <c r="A1868" s="4" t="s">
        <v>55</v>
      </c>
      <c r="B1868" s="7">
        <v>45967.0</v>
      </c>
      <c r="C1868" s="4" t="s">
        <v>631</v>
      </c>
      <c r="D1868" s="4" t="s">
        <v>3391</v>
      </c>
      <c r="E1868" s="8">
        <v>150.0</v>
      </c>
      <c r="F1868" s="4" t="str">
        <f t="shared" si="1"/>
        <v>500 &amp; Below</v>
      </c>
    </row>
    <row r="1869" ht="15.75" customHeight="1">
      <c r="A1869" s="4" t="s">
        <v>55</v>
      </c>
      <c r="B1869" s="7">
        <v>45967.0</v>
      </c>
      <c r="C1869" s="4" t="s">
        <v>631</v>
      </c>
      <c r="D1869" s="4" t="s">
        <v>3392</v>
      </c>
      <c r="E1869" s="8">
        <v>620.0</v>
      </c>
      <c r="F1869" s="4" t="str">
        <f t="shared" si="1"/>
        <v>Above 500</v>
      </c>
    </row>
    <row r="1870" ht="15.75" customHeight="1">
      <c r="A1870" s="4" t="s">
        <v>55</v>
      </c>
      <c r="B1870" s="7">
        <v>45967.0</v>
      </c>
      <c r="C1870" s="4" t="s">
        <v>631</v>
      </c>
      <c r="D1870" s="4" t="s">
        <v>3393</v>
      </c>
      <c r="E1870" s="8">
        <v>28.0</v>
      </c>
      <c r="F1870" s="4" t="str">
        <f t="shared" si="1"/>
        <v>500 &amp; Below</v>
      </c>
    </row>
    <row r="1871" ht="15.75" customHeight="1">
      <c r="A1871" s="4" t="s">
        <v>55</v>
      </c>
      <c r="B1871" s="7">
        <v>45967.0</v>
      </c>
      <c r="C1871" s="4" t="s">
        <v>631</v>
      </c>
      <c r="D1871" s="4" t="s">
        <v>3389</v>
      </c>
      <c r="E1871" s="8">
        <v>40.0</v>
      </c>
      <c r="F1871" s="4" t="str">
        <f t="shared" si="1"/>
        <v>500 &amp; Below</v>
      </c>
    </row>
    <row r="1872" ht="15.75" customHeight="1">
      <c r="A1872" s="4" t="s">
        <v>55</v>
      </c>
      <c r="B1872" s="7">
        <v>45967.0</v>
      </c>
      <c r="C1872" s="4" t="s">
        <v>631</v>
      </c>
      <c r="D1872" s="4" t="s">
        <v>3394</v>
      </c>
      <c r="E1872" s="8">
        <v>30.0</v>
      </c>
      <c r="F1872" s="4" t="str">
        <f t="shared" si="1"/>
        <v>500 &amp; Below</v>
      </c>
    </row>
    <row r="1873" ht="15.75" customHeight="1">
      <c r="A1873" s="4" t="s">
        <v>55</v>
      </c>
      <c r="B1873" s="7">
        <v>45967.0</v>
      </c>
      <c r="C1873" s="4" t="s">
        <v>631</v>
      </c>
      <c r="D1873" s="4" t="s">
        <v>3395</v>
      </c>
      <c r="E1873" s="8">
        <v>5.0</v>
      </c>
      <c r="F1873" s="4" t="str">
        <f t="shared" si="1"/>
        <v>500 &amp; Below</v>
      </c>
    </row>
    <row r="1874" ht="15.75" customHeight="1">
      <c r="A1874" s="4" t="s">
        <v>55</v>
      </c>
      <c r="B1874" s="7">
        <v>45968.0</v>
      </c>
      <c r="C1874" s="4" t="s">
        <v>631</v>
      </c>
      <c r="D1874" s="4" t="s">
        <v>3396</v>
      </c>
      <c r="E1874" s="8">
        <v>330.0</v>
      </c>
      <c r="F1874" s="4" t="str">
        <f t="shared" si="1"/>
        <v>500 &amp; Below</v>
      </c>
    </row>
    <row r="1875" ht="15.75" customHeight="1">
      <c r="A1875" s="4" t="s">
        <v>55</v>
      </c>
      <c r="B1875" s="7">
        <v>45968.0</v>
      </c>
      <c r="C1875" s="4" t="s">
        <v>631</v>
      </c>
      <c r="D1875" s="4" t="s">
        <v>3397</v>
      </c>
      <c r="E1875" s="8">
        <v>300.0</v>
      </c>
      <c r="F1875" s="4" t="str">
        <f t="shared" si="1"/>
        <v>500 &amp; Below</v>
      </c>
    </row>
    <row r="1876" ht="15.75" customHeight="1">
      <c r="A1876" s="4" t="s">
        <v>55</v>
      </c>
      <c r="B1876" s="7">
        <v>45968.0</v>
      </c>
      <c r="C1876" s="4" t="s">
        <v>631</v>
      </c>
      <c r="D1876" s="4" t="s">
        <v>3398</v>
      </c>
      <c r="E1876" s="8">
        <v>50.0</v>
      </c>
      <c r="F1876" s="4" t="str">
        <f t="shared" si="1"/>
        <v>500 &amp; Below</v>
      </c>
    </row>
    <row r="1877" ht="15.75" customHeight="1">
      <c r="A1877" s="4" t="s">
        <v>55</v>
      </c>
      <c r="B1877" s="7">
        <v>45968.0</v>
      </c>
      <c r="C1877" s="4" t="s">
        <v>631</v>
      </c>
      <c r="D1877" s="4" t="s">
        <v>3399</v>
      </c>
      <c r="E1877" s="8">
        <v>25.0</v>
      </c>
      <c r="F1877" s="4" t="str">
        <f t="shared" si="1"/>
        <v>500 &amp; Below</v>
      </c>
    </row>
    <row r="1878" ht="15.75" customHeight="1">
      <c r="A1878" s="4" t="s">
        <v>55</v>
      </c>
      <c r="B1878" s="7">
        <v>45968.0</v>
      </c>
      <c r="C1878" s="4" t="s">
        <v>631</v>
      </c>
      <c r="D1878" s="4" t="s">
        <v>3268</v>
      </c>
      <c r="E1878" s="8">
        <v>268.15</v>
      </c>
      <c r="F1878" s="4" t="str">
        <f t="shared" si="1"/>
        <v>500 &amp; Below</v>
      </c>
    </row>
    <row r="1879" ht="15.75" customHeight="1">
      <c r="A1879" s="4" t="s">
        <v>55</v>
      </c>
      <c r="B1879" s="7">
        <v>45968.0</v>
      </c>
      <c r="C1879" s="4" t="s">
        <v>631</v>
      </c>
      <c r="D1879" s="4" t="s">
        <v>37</v>
      </c>
      <c r="E1879" s="8">
        <v>29.0</v>
      </c>
      <c r="F1879" s="4" t="str">
        <f t="shared" si="1"/>
        <v>500 &amp; Below</v>
      </c>
    </row>
    <row r="1880" ht="15.75" customHeight="1">
      <c r="A1880" s="4" t="s">
        <v>55</v>
      </c>
      <c r="B1880" s="7">
        <v>45968.0</v>
      </c>
      <c r="C1880" s="4" t="s">
        <v>631</v>
      </c>
      <c r="D1880" s="4" t="s">
        <v>3400</v>
      </c>
      <c r="E1880" s="8">
        <v>10.0</v>
      </c>
      <c r="F1880" s="4" t="str">
        <f t="shared" si="1"/>
        <v>500 &amp; Below</v>
      </c>
    </row>
    <row r="1881" ht="15.75" customHeight="1">
      <c r="A1881" s="4" t="s">
        <v>55</v>
      </c>
      <c r="B1881" s="7">
        <v>45968.0</v>
      </c>
      <c r="C1881" s="4" t="s">
        <v>631</v>
      </c>
      <c r="D1881" s="4" t="s">
        <v>3401</v>
      </c>
      <c r="E1881" s="8">
        <v>14.0</v>
      </c>
      <c r="F1881" s="4" t="str">
        <f t="shared" si="1"/>
        <v>500 &amp; Below</v>
      </c>
    </row>
    <row r="1882" ht="15.75" customHeight="1">
      <c r="A1882" s="4" t="s">
        <v>55</v>
      </c>
      <c r="B1882" s="7">
        <v>45968.0</v>
      </c>
      <c r="C1882" s="4" t="s">
        <v>631</v>
      </c>
      <c r="D1882" s="4" t="s">
        <v>3402</v>
      </c>
      <c r="E1882" s="8">
        <v>4770.0</v>
      </c>
      <c r="F1882" s="4" t="str">
        <f t="shared" si="1"/>
        <v>Above 500</v>
      </c>
    </row>
    <row r="1883" ht="15.75" customHeight="1">
      <c r="A1883" s="4" t="s">
        <v>55</v>
      </c>
      <c r="B1883" s="7">
        <v>45968.0</v>
      </c>
      <c r="C1883" s="4" t="s">
        <v>631</v>
      </c>
      <c r="D1883" s="4" t="s">
        <v>3393</v>
      </c>
      <c r="E1883" s="8">
        <v>18.0</v>
      </c>
      <c r="F1883" s="4" t="str">
        <f t="shared" si="1"/>
        <v>500 &amp; Below</v>
      </c>
    </row>
    <row r="1884" ht="15.75" customHeight="1">
      <c r="A1884" s="4" t="s">
        <v>55</v>
      </c>
      <c r="B1884" s="7">
        <v>45968.0</v>
      </c>
      <c r="C1884" s="4" t="s">
        <v>631</v>
      </c>
      <c r="D1884" s="4" t="s">
        <v>3403</v>
      </c>
      <c r="E1884" s="8">
        <v>1200.0</v>
      </c>
      <c r="F1884" s="4" t="str">
        <f t="shared" si="1"/>
        <v>Above 500</v>
      </c>
    </row>
    <row r="1885" ht="15.75" customHeight="1">
      <c r="A1885" s="4" t="s">
        <v>55</v>
      </c>
      <c r="B1885" s="7">
        <v>45969.0</v>
      </c>
      <c r="C1885" s="4" t="s">
        <v>631</v>
      </c>
      <c r="D1885" s="4" t="s">
        <v>3230</v>
      </c>
      <c r="E1885" s="8">
        <v>180.0</v>
      </c>
      <c r="F1885" s="4" t="str">
        <f t="shared" si="1"/>
        <v>500 &amp; Below</v>
      </c>
    </row>
    <row r="1886" ht="15.75" customHeight="1">
      <c r="A1886" s="4" t="s">
        <v>55</v>
      </c>
      <c r="B1886" s="7">
        <v>45969.0</v>
      </c>
      <c r="C1886" s="4" t="s">
        <v>631</v>
      </c>
      <c r="D1886" s="4" t="s">
        <v>3404</v>
      </c>
      <c r="E1886" s="8">
        <v>90.0</v>
      </c>
      <c r="F1886" s="4" t="str">
        <f t="shared" si="1"/>
        <v>500 &amp; Below</v>
      </c>
    </row>
    <row r="1887" ht="15.75" customHeight="1">
      <c r="A1887" s="4" t="s">
        <v>55</v>
      </c>
      <c r="B1887" s="7">
        <v>45969.0</v>
      </c>
      <c r="C1887" s="4" t="s">
        <v>631</v>
      </c>
      <c r="D1887" s="4" t="s">
        <v>3405</v>
      </c>
      <c r="E1887" s="8">
        <v>110.0</v>
      </c>
      <c r="F1887" s="4" t="str">
        <f t="shared" si="1"/>
        <v>500 &amp; Below</v>
      </c>
    </row>
    <row r="1888" ht="15.75" customHeight="1">
      <c r="A1888" s="4" t="s">
        <v>55</v>
      </c>
      <c r="B1888" s="7">
        <v>45969.0</v>
      </c>
      <c r="C1888" s="4" t="s">
        <v>631</v>
      </c>
      <c r="D1888" s="4" t="s">
        <v>3406</v>
      </c>
      <c r="E1888" s="8">
        <v>150.0</v>
      </c>
      <c r="F1888" s="4" t="str">
        <f t="shared" si="1"/>
        <v>500 &amp; Below</v>
      </c>
    </row>
    <row r="1889" ht="15.75" customHeight="1">
      <c r="A1889" s="4" t="s">
        <v>55</v>
      </c>
      <c r="B1889" s="7">
        <v>45969.0</v>
      </c>
      <c r="C1889" s="4" t="s">
        <v>631</v>
      </c>
      <c r="D1889" s="4" t="s">
        <v>3407</v>
      </c>
      <c r="E1889" s="8">
        <v>72.0</v>
      </c>
      <c r="F1889" s="4" t="str">
        <f t="shared" si="1"/>
        <v>500 &amp; Below</v>
      </c>
    </row>
    <row r="1890" ht="15.75" customHeight="1">
      <c r="A1890" s="4" t="s">
        <v>55</v>
      </c>
      <c r="B1890" s="7">
        <v>45969.0</v>
      </c>
      <c r="C1890" s="4" t="s">
        <v>631</v>
      </c>
      <c r="D1890" s="4" t="s">
        <v>37</v>
      </c>
      <c r="E1890" s="8">
        <v>29.0</v>
      </c>
      <c r="F1890" s="4" t="str">
        <f t="shared" si="1"/>
        <v>500 &amp; Below</v>
      </c>
    </row>
    <row r="1891" ht="15.75" customHeight="1">
      <c r="A1891" s="4" t="s">
        <v>55</v>
      </c>
      <c r="B1891" s="7">
        <v>45969.0</v>
      </c>
      <c r="C1891" s="4" t="s">
        <v>631</v>
      </c>
      <c r="D1891" s="4" t="s">
        <v>3392</v>
      </c>
      <c r="E1891" s="8">
        <v>830.0</v>
      </c>
      <c r="F1891" s="4" t="str">
        <f t="shared" si="1"/>
        <v>Above 500</v>
      </c>
    </row>
    <row r="1892" ht="15.75" customHeight="1">
      <c r="A1892" s="4" t="s">
        <v>55</v>
      </c>
      <c r="B1892" s="7">
        <v>45969.0</v>
      </c>
      <c r="C1892" s="4" t="s">
        <v>631</v>
      </c>
      <c r="D1892" s="4" t="s">
        <v>3408</v>
      </c>
      <c r="E1892" s="8">
        <v>641.0</v>
      </c>
      <c r="F1892" s="4" t="str">
        <f t="shared" si="1"/>
        <v>Above 500</v>
      </c>
    </row>
    <row r="1893" ht="15.75" customHeight="1">
      <c r="A1893" s="4" t="s">
        <v>55</v>
      </c>
      <c r="B1893" s="7">
        <v>45969.0</v>
      </c>
      <c r="C1893" s="4" t="s">
        <v>631</v>
      </c>
      <c r="D1893" s="4" t="s">
        <v>3408</v>
      </c>
      <c r="E1893" s="8">
        <v>20.0</v>
      </c>
      <c r="F1893" s="4" t="str">
        <f t="shared" si="1"/>
        <v>500 &amp; Below</v>
      </c>
    </row>
    <row r="1894" ht="15.75" customHeight="1">
      <c r="A1894" s="4" t="s">
        <v>55</v>
      </c>
      <c r="B1894" s="7">
        <v>45969.0</v>
      </c>
      <c r="C1894" s="4" t="s">
        <v>631</v>
      </c>
      <c r="D1894" s="4" t="s">
        <v>3409</v>
      </c>
      <c r="E1894" s="8">
        <v>30.0</v>
      </c>
      <c r="F1894" s="4" t="str">
        <f t="shared" si="1"/>
        <v>500 &amp; Below</v>
      </c>
    </row>
    <row r="1895" ht="15.75" customHeight="1">
      <c r="A1895" s="4" t="s">
        <v>55</v>
      </c>
      <c r="B1895" s="7">
        <v>45970.0</v>
      </c>
      <c r="C1895" s="4" t="s">
        <v>631</v>
      </c>
      <c r="D1895" s="4" t="s">
        <v>3410</v>
      </c>
      <c r="E1895" s="8">
        <v>2000.0</v>
      </c>
      <c r="F1895" s="4" t="str">
        <f t="shared" si="1"/>
        <v>Above 500</v>
      </c>
    </row>
    <row r="1896" ht="15.75" customHeight="1">
      <c r="A1896" s="4" t="s">
        <v>55</v>
      </c>
      <c r="B1896" s="7">
        <v>45970.0</v>
      </c>
      <c r="C1896" s="4" t="s">
        <v>631</v>
      </c>
      <c r="D1896" s="4" t="s">
        <v>3411</v>
      </c>
      <c r="E1896" s="8">
        <v>10.0</v>
      </c>
      <c r="F1896" s="4" t="str">
        <f t="shared" si="1"/>
        <v>500 &amp; Below</v>
      </c>
    </row>
    <row r="1897" ht="15.75" customHeight="1">
      <c r="A1897" s="4" t="s">
        <v>55</v>
      </c>
      <c r="B1897" s="7">
        <v>45970.0</v>
      </c>
      <c r="C1897" s="4" t="s">
        <v>631</v>
      </c>
      <c r="D1897" s="4" t="s">
        <v>3412</v>
      </c>
      <c r="E1897" s="8">
        <v>1050.0</v>
      </c>
      <c r="F1897" s="4" t="str">
        <f t="shared" si="1"/>
        <v>Above 500</v>
      </c>
    </row>
    <row r="1898" ht="15.75" customHeight="1">
      <c r="A1898" s="4" t="s">
        <v>55</v>
      </c>
      <c r="B1898" s="7">
        <v>45970.0</v>
      </c>
      <c r="C1898" s="4" t="s">
        <v>631</v>
      </c>
      <c r="D1898" s="4" t="s">
        <v>3413</v>
      </c>
      <c r="E1898" s="8">
        <v>360.0</v>
      </c>
      <c r="F1898" s="4" t="str">
        <f t="shared" si="1"/>
        <v>500 &amp; Below</v>
      </c>
    </row>
    <row r="1899" ht="15.75" customHeight="1">
      <c r="A1899" s="4" t="s">
        <v>55</v>
      </c>
      <c r="B1899" s="7">
        <v>45970.0</v>
      </c>
      <c r="C1899" s="4" t="s">
        <v>631</v>
      </c>
      <c r="D1899" s="4" t="s">
        <v>3414</v>
      </c>
      <c r="E1899" s="8">
        <v>150.0</v>
      </c>
      <c r="F1899" s="4" t="str">
        <f t="shared" si="1"/>
        <v>500 &amp; Below</v>
      </c>
    </row>
    <row r="1900" ht="15.75" customHeight="1">
      <c r="A1900" s="4" t="s">
        <v>55</v>
      </c>
      <c r="B1900" s="7">
        <v>45970.0</v>
      </c>
      <c r="C1900" s="4" t="s">
        <v>631</v>
      </c>
      <c r="D1900" s="4" t="s">
        <v>37</v>
      </c>
      <c r="E1900" s="8">
        <v>29.0</v>
      </c>
      <c r="F1900" s="4" t="str">
        <f t="shared" si="1"/>
        <v>500 &amp; Below</v>
      </c>
    </row>
    <row r="1901" ht="15.75" customHeight="1">
      <c r="A1901" s="4" t="s">
        <v>55</v>
      </c>
      <c r="B1901" s="7">
        <v>45970.0</v>
      </c>
      <c r="C1901" s="4" t="s">
        <v>631</v>
      </c>
      <c r="D1901" s="4" t="s">
        <v>3415</v>
      </c>
      <c r="E1901" s="8">
        <v>100.0</v>
      </c>
      <c r="F1901" s="4" t="str">
        <f t="shared" si="1"/>
        <v>500 &amp; Below</v>
      </c>
    </row>
    <row r="1902" ht="15.75" customHeight="1">
      <c r="A1902" s="4" t="s">
        <v>55</v>
      </c>
      <c r="B1902" s="7">
        <v>45970.0</v>
      </c>
      <c r="C1902" s="4" t="s">
        <v>631</v>
      </c>
      <c r="D1902" s="4" t="s">
        <v>3415</v>
      </c>
      <c r="E1902" s="8">
        <v>400.0</v>
      </c>
      <c r="F1902" s="4" t="str">
        <f t="shared" si="1"/>
        <v>500 &amp; Below</v>
      </c>
    </row>
    <row r="1903" ht="15.75" customHeight="1">
      <c r="A1903" s="4" t="s">
        <v>55</v>
      </c>
      <c r="B1903" s="7">
        <v>45972.0</v>
      </c>
      <c r="C1903" s="4" t="s">
        <v>631</v>
      </c>
      <c r="D1903" s="4" t="s">
        <v>3416</v>
      </c>
      <c r="E1903" s="8">
        <v>382.0</v>
      </c>
      <c r="F1903" s="4" t="str">
        <f t="shared" si="1"/>
        <v>500 &amp; Below</v>
      </c>
    </row>
    <row r="1904" ht="15.75" customHeight="1">
      <c r="A1904" s="4" t="s">
        <v>55</v>
      </c>
      <c r="B1904" s="7">
        <v>45972.0</v>
      </c>
      <c r="C1904" s="4" t="s">
        <v>631</v>
      </c>
      <c r="D1904" s="4" t="s">
        <v>3417</v>
      </c>
      <c r="E1904" s="8">
        <v>25.0</v>
      </c>
      <c r="F1904" s="4" t="str">
        <f t="shared" si="1"/>
        <v>500 &amp; Below</v>
      </c>
    </row>
    <row r="1905" ht="15.75" customHeight="1">
      <c r="A1905" s="4" t="s">
        <v>55</v>
      </c>
      <c r="B1905" s="7">
        <v>45972.0</v>
      </c>
      <c r="C1905" s="4" t="s">
        <v>631</v>
      </c>
      <c r="D1905" s="4" t="s">
        <v>3418</v>
      </c>
      <c r="E1905" s="8">
        <v>320.0</v>
      </c>
      <c r="F1905" s="4" t="str">
        <f t="shared" si="1"/>
        <v>500 &amp; Below</v>
      </c>
    </row>
    <row r="1906" ht="15.75" customHeight="1">
      <c r="A1906" s="4" t="s">
        <v>55</v>
      </c>
      <c r="B1906" s="7">
        <v>45973.0</v>
      </c>
      <c r="C1906" s="4" t="s">
        <v>631</v>
      </c>
      <c r="D1906" s="4" t="s">
        <v>39</v>
      </c>
      <c r="E1906" s="8">
        <v>37.0</v>
      </c>
      <c r="F1906" s="4" t="str">
        <f t="shared" si="1"/>
        <v>500 &amp; Below</v>
      </c>
    </row>
    <row r="1907" ht="15.75" customHeight="1">
      <c r="A1907" s="4" t="s">
        <v>55</v>
      </c>
      <c r="B1907" s="7">
        <v>45973.0</v>
      </c>
      <c r="C1907" s="4" t="s">
        <v>631</v>
      </c>
      <c r="D1907" s="4" t="s">
        <v>48</v>
      </c>
      <c r="E1907" s="8">
        <v>516.0</v>
      </c>
      <c r="F1907" s="4" t="str">
        <f t="shared" si="1"/>
        <v>Above 500</v>
      </c>
    </row>
    <row r="1908" ht="15.75" customHeight="1">
      <c r="A1908" s="4" t="s">
        <v>55</v>
      </c>
      <c r="B1908" s="7">
        <v>45973.0</v>
      </c>
      <c r="C1908" s="4" t="s">
        <v>631</v>
      </c>
      <c r="D1908" s="4" t="s">
        <v>48</v>
      </c>
      <c r="E1908" s="8">
        <v>302.0</v>
      </c>
      <c r="F1908" s="4" t="str">
        <f t="shared" si="1"/>
        <v>500 &amp; Below</v>
      </c>
    </row>
    <row r="1909" ht="15.75" customHeight="1">
      <c r="A1909" s="4" t="s">
        <v>55</v>
      </c>
      <c r="B1909" s="7">
        <v>45973.0</v>
      </c>
      <c r="C1909" s="4" t="s">
        <v>631</v>
      </c>
      <c r="D1909" s="4" t="s">
        <v>33</v>
      </c>
      <c r="E1909" s="8">
        <v>145.0</v>
      </c>
      <c r="F1909" s="4" t="str">
        <f t="shared" si="1"/>
        <v>500 &amp; Below</v>
      </c>
    </row>
    <row r="1910" ht="15.75" customHeight="1">
      <c r="A1910" s="4" t="s">
        <v>55</v>
      </c>
      <c r="B1910" s="7">
        <v>45973.0</v>
      </c>
      <c r="C1910" s="4" t="s">
        <v>631</v>
      </c>
      <c r="D1910" s="4" t="s">
        <v>3419</v>
      </c>
      <c r="E1910" s="8">
        <v>220.0</v>
      </c>
      <c r="F1910" s="4" t="str">
        <f t="shared" si="1"/>
        <v>500 &amp; Below</v>
      </c>
    </row>
    <row r="1911" ht="15.75" customHeight="1">
      <c r="A1911" s="4" t="s">
        <v>55</v>
      </c>
      <c r="B1911" s="7">
        <v>45973.0</v>
      </c>
      <c r="C1911" s="4" t="s">
        <v>631</v>
      </c>
      <c r="D1911" s="4" t="s">
        <v>3218</v>
      </c>
      <c r="E1911" s="8">
        <v>105.0</v>
      </c>
      <c r="F1911" s="4" t="str">
        <f t="shared" si="1"/>
        <v>500 &amp; Below</v>
      </c>
    </row>
    <row r="1912" ht="15.75" customHeight="1">
      <c r="A1912" s="4" t="s">
        <v>55</v>
      </c>
      <c r="B1912" s="7">
        <v>45973.0</v>
      </c>
      <c r="C1912" s="4" t="s">
        <v>631</v>
      </c>
      <c r="D1912" s="4" t="s">
        <v>36</v>
      </c>
      <c r="E1912" s="8">
        <v>1755.0</v>
      </c>
      <c r="F1912" s="4" t="str">
        <f t="shared" si="1"/>
        <v>Above 500</v>
      </c>
    </row>
    <row r="1913" ht="15.75" customHeight="1">
      <c r="A1913" s="4" t="s">
        <v>55</v>
      </c>
      <c r="B1913" s="7">
        <v>45973.0</v>
      </c>
      <c r="C1913" s="4" t="s">
        <v>631</v>
      </c>
      <c r="D1913" s="4" t="s">
        <v>36</v>
      </c>
      <c r="E1913" s="8">
        <v>2324.0</v>
      </c>
      <c r="F1913" s="4" t="str">
        <f t="shared" si="1"/>
        <v>Above 500</v>
      </c>
    </row>
    <row r="1914" ht="15.75" customHeight="1">
      <c r="A1914" s="4" t="s">
        <v>55</v>
      </c>
      <c r="B1914" s="7">
        <v>45974.0</v>
      </c>
      <c r="C1914" s="4" t="s">
        <v>631</v>
      </c>
      <c r="D1914" s="4" t="s">
        <v>1453</v>
      </c>
      <c r="E1914" s="8">
        <v>100.0</v>
      </c>
      <c r="F1914" s="4" t="str">
        <f t="shared" si="1"/>
        <v>500 &amp; Below</v>
      </c>
    </row>
    <row r="1915" ht="15.75" customHeight="1">
      <c r="A1915" s="4" t="s">
        <v>55</v>
      </c>
      <c r="B1915" s="7">
        <v>45974.0</v>
      </c>
      <c r="C1915" s="4" t="s">
        <v>631</v>
      </c>
      <c r="D1915" s="4" t="s">
        <v>3420</v>
      </c>
      <c r="E1915" s="8">
        <v>10.0</v>
      </c>
      <c r="F1915" s="4" t="str">
        <f t="shared" si="1"/>
        <v>500 &amp; Below</v>
      </c>
    </row>
    <row r="1916" ht="15.75" customHeight="1">
      <c r="A1916" s="4" t="s">
        <v>55</v>
      </c>
      <c r="B1916" s="7">
        <v>45974.0</v>
      </c>
      <c r="C1916" s="4" t="s">
        <v>631</v>
      </c>
      <c r="D1916" s="4" t="s">
        <v>18</v>
      </c>
      <c r="E1916" s="8">
        <v>9.92</v>
      </c>
      <c r="F1916" s="4" t="str">
        <f t="shared" si="1"/>
        <v>500 &amp; Below</v>
      </c>
    </row>
    <row r="1917" ht="15.75" customHeight="1">
      <c r="A1917" s="4" t="s">
        <v>55</v>
      </c>
      <c r="B1917" s="7">
        <v>45974.0</v>
      </c>
      <c r="C1917" s="4" t="s">
        <v>631</v>
      </c>
      <c r="D1917" s="4" t="s">
        <v>37</v>
      </c>
      <c r="E1917" s="8">
        <v>29.0</v>
      </c>
      <c r="F1917" s="4" t="str">
        <f t="shared" si="1"/>
        <v>500 &amp; Below</v>
      </c>
    </row>
    <row r="1918" ht="15.75" customHeight="1">
      <c r="A1918" s="4" t="s">
        <v>55</v>
      </c>
      <c r="B1918" s="7">
        <v>45974.0</v>
      </c>
      <c r="C1918" s="4" t="s">
        <v>631</v>
      </c>
      <c r="D1918" s="4" t="s">
        <v>3421</v>
      </c>
      <c r="E1918" s="8">
        <v>10.0</v>
      </c>
      <c r="F1918" s="4" t="str">
        <f t="shared" si="1"/>
        <v>500 &amp; Below</v>
      </c>
    </row>
    <row r="1919" ht="15.75" customHeight="1">
      <c r="A1919" s="4" t="s">
        <v>55</v>
      </c>
      <c r="B1919" s="7">
        <v>45974.0</v>
      </c>
      <c r="C1919" s="4" t="s">
        <v>631</v>
      </c>
      <c r="D1919" s="4" t="s">
        <v>3422</v>
      </c>
      <c r="E1919" s="8">
        <v>40.0</v>
      </c>
      <c r="F1919" s="4" t="str">
        <f t="shared" si="1"/>
        <v>500 &amp; Below</v>
      </c>
    </row>
    <row r="1920" ht="15.75" customHeight="1">
      <c r="A1920" s="4" t="s">
        <v>55</v>
      </c>
      <c r="B1920" s="7">
        <v>45975.0</v>
      </c>
      <c r="C1920" s="4" t="s">
        <v>631</v>
      </c>
      <c r="D1920" s="4" t="s">
        <v>37</v>
      </c>
      <c r="E1920" s="8">
        <v>39.0</v>
      </c>
      <c r="F1920" s="4" t="str">
        <f t="shared" si="1"/>
        <v>500 &amp; Below</v>
      </c>
    </row>
    <row r="1921" ht="15.75" customHeight="1">
      <c r="A1921" s="4" t="s">
        <v>55</v>
      </c>
      <c r="B1921" s="7">
        <v>45975.0</v>
      </c>
      <c r="C1921" s="4" t="s">
        <v>631</v>
      </c>
      <c r="D1921" s="4" t="s">
        <v>1261</v>
      </c>
      <c r="E1921" s="8">
        <v>100.0</v>
      </c>
      <c r="F1921" s="4" t="str">
        <f t="shared" si="1"/>
        <v>500 &amp; Below</v>
      </c>
    </row>
    <row r="1922" ht="15.75" customHeight="1">
      <c r="A1922" s="4" t="s">
        <v>55</v>
      </c>
      <c r="B1922" s="7">
        <v>45975.0</v>
      </c>
      <c r="C1922" s="4" t="s">
        <v>631</v>
      </c>
      <c r="D1922" s="4" t="s">
        <v>97</v>
      </c>
      <c r="E1922" s="8">
        <v>330.0</v>
      </c>
      <c r="F1922" s="4" t="str">
        <f t="shared" si="1"/>
        <v>500 &amp; Below</v>
      </c>
    </row>
    <row r="1923" ht="15.75" customHeight="1">
      <c r="A1923" s="4" t="s">
        <v>55</v>
      </c>
      <c r="B1923" s="7">
        <v>45975.0</v>
      </c>
      <c r="C1923" s="4" t="s">
        <v>631</v>
      </c>
      <c r="D1923" s="4" t="s">
        <v>3423</v>
      </c>
      <c r="E1923" s="8">
        <v>60.0</v>
      </c>
      <c r="F1923" s="4" t="str">
        <f t="shared" si="1"/>
        <v>500 &amp; Below</v>
      </c>
    </row>
    <row r="1924" ht="15.75" customHeight="1">
      <c r="A1924" s="4" t="s">
        <v>55</v>
      </c>
      <c r="B1924" s="7">
        <v>45975.0</v>
      </c>
      <c r="C1924" s="4" t="s">
        <v>631</v>
      </c>
      <c r="D1924" s="4" t="s">
        <v>25</v>
      </c>
      <c r="E1924" s="8">
        <v>18.0</v>
      </c>
      <c r="F1924" s="4" t="str">
        <f t="shared" si="1"/>
        <v>500 &amp; Below</v>
      </c>
    </row>
    <row r="1925" ht="15.75" customHeight="1">
      <c r="A1925" s="4" t="s">
        <v>55</v>
      </c>
      <c r="B1925" s="7">
        <v>45975.0</v>
      </c>
      <c r="C1925" s="4" t="s">
        <v>631</v>
      </c>
      <c r="D1925" s="4" t="s">
        <v>36</v>
      </c>
      <c r="E1925" s="8">
        <v>3081.0</v>
      </c>
      <c r="F1925" s="4" t="str">
        <f t="shared" si="1"/>
        <v>Above 500</v>
      </c>
    </row>
    <row r="1926" ht="15.75" customHeight="1">
      <c r="A1926" s="4" t="s">
        <v>55</v>
      </c>
      <c r="B1926" s="7">
        <v>45976.0</v>
      </c>
      <c r="C1926" s="4" t="s">
        <v>631</v>
      </c>
      <c r="D1926" s="4" t="s">
        <v>3218</v>
      </c>
      <c r="E1926" s="8">
        <v>236.0</v>
      </c>
      <c r="F1926" s="4" t="str">
        <f t="shared" si="1"/>
        <v>500 &amp; Below</v>
      </c>
    </row>
    <row r="1927" ht="15.75" customHeight="1">
      <c r="A1927" s="4" t="s">
        <v>55</v>
      </c>
      <c r="B1927" s="7">
        <v>45976.0</v>
      </c>
      <c r="C1927" s="4" t="s">
        <v>631</v>
      </c>
      <c r="D1927" s="4" t="s">
        <v>3424</v>
      </c>
      <c r="E1927" s="8">
        <v>15.0</v>
      </c>
      <c r="F1927" s="4" t="str">
        <f t="shared" si="1"/>
        <v>500 &amp; Below</v>
      </c>
    </row>
    <row r="1928" ht="15.75" customHeight="1">
      <c r="A1928" s="4" t="s">
        <v>55</v>
      </c>
      <c r="B1928" s="7">
        <v>45976.0</v>
      </c>
      <c r="C1928" s="4" t="s">
        <v>631</v>
      </c>
      <c r="D1928" s="4" t="s">
        <v>826</v>
      </c>
      <c r="E1928" s="8">
        <v>43.0</v>
      </c>
      <c r="F1928" s="4" t="str">
        <f t="shared" si="1"/>
        <v>500 &amp; Below</v>
      </c>
    </row>
    <row r="1929" ht="15.75" customHeight="1">
      <c r="A1929" s="4" t="s">
        <v>55</v>
      </c>
      <c r="B1929" s="7">
        <v>45976.0</v>
      </c>
      <c r="C1929" s="4" t="s">
        <v>631</v>
      </c>
      <c r="D1929" s="4" t="s">
        <v>3285</v>
      </c>
      <c r="E1929" s="8">
        <v>8.0</v>
      </c>
      <c r="F1929" s="4" t="str">
        <f t="shared" si="1"/>
        <v>500 &amp; Below</v>
      </c>
    </row>
    <row r="1930" ht="15.75" customHeight="1">
      <c r="A1930" s="4" t="s">
        <v>55</v>
      </c>
      <c r="B1930" s="7">
        <v>45976.0</v>
      </c>
      <c r="C1930" s="4" t="s">
        <v>631</v>
      </c>
      <c r="D1930" s="4" t="s">
        <v>3425</v>
      </c>
      <c r="E1930" s="8">
        <v>30.0</v>
      </c>
      <c r="F1930" s="4" t="str">
        <f t="shared" si="1"/>
        <v>500 &amp; Below</v>
      </c>
    </row>
    <row r="1931" ht="15.75" customHeight="1">
      <c r="A1931" s="4" t="s">
        <v>55</v>
      </c>
      <c r="B1931" s="7">
        <v>45976.0</v>
      </c>
      <c r="C1931" s="4" t="s">
        <v>631</v>
      </c>
      <c r="D1931" s="4" t="s">
        <v>3421</v>
      </c>
      <c r="E1931" s="8">
        <v>10.0</v>
      </c>
      <c r="F1931" s="4" t="str">
        <f t="shared" si="1"/>
        <v>500 &amp; Below</v>
      </c>
    </row>
    <row r="1932" ht="15.75" customHeight="1">
      <c r="A1932" s="4" t="s">
        <v>55</v>
      </c>
      <c r="B1932" s="7">
        <v>45977.0</v>
      </c>
      <c r="C1932" s="4" t="s">
        <v>631</v>
      </c>
      <c r="D1932" s="4" t="s">
        <v>3295</v>
      </c>
      <c r="E1932" s="8">
        <v>190.0</v>
      </c>
      <c r="F1932" s="4" t="str">
        <f t="shared" si="1"/>
        <v>500 &amp; Below</v>
      </c>
    </row>
    <row r="1933" ht="15.75" customHeight="1">
      <c r="A1933" s="4" t="s">
        <v>55</v>
      </c>
      <c r="B1933" s="7">
        <v>45977.0</v>
      </c>
      <c r="C1933" s="4" t="s">
        <v>631</v>
      </c>
      <c r="D1933" s="4" t="s">
        <v>3426</v>
      </c>
      <c r="E1933" s="8">
        <v>43.0</v>
      </c>
      <c r="F1933" s="4" t="str">
        <f t="shared" si="1"/>
        <v>500 &amp; Below</v>
      </c>
    </row>
    <row r="1934" ht="15.75" customHeight="1">
      <c r="A1934" s="4" t="s">
        <v>55</v>
      </c>
      <c r="B1934" s="7">
        <v>45977.0</v>
      </c>
      <c r="C1934" s="4" t="s">
        <v>631</v>
      </c>
      <c r="D1934" s="4" t="s">
        <v>1392</v>
      </c>
      <c r="E1934" s="8">
        <v>263.0</v>
      </c>
      <c r="F1934" s="4" t="str">
        <f t="shared" si="1"/>
        <v>500 &amp; Below</v>
      </c>
    </row>
    <row r="1935" ht="15.75" customHeight="1">
      <c r="A1935" s="4" t="s">
        <v>55</v>
      </c>
      <c r="B1935" s="7">
        <v>45977.0</v>
      </c>
      <c r="C1935" s="4" t="s">
        <v>631</v>
      </c>
      <c r="D1935" s="4" t="s">
        <v>3427</v>
      </c>
      <c r="E1935" s="8">
        <v>70.0</v>
      </c>
      <c r="F1935" s="4" t="str">
        <f t="shared" si="1"/>
        <v>500 &amp; Below</v>
      </c>
    </row>
    <row r="1936" ht="15.75" customHeight="1">
      <c r="A1936" s="4" t="s">
        <v>55</v>
      </c>
      <c r="B1936" s="7">
        <v>45977.0</v>
      </c>
      <c r="C1936" s="4" t="s">
        <v>631</v>
      </c>
      <c r="D1936" s="4" t="s">
        <v>39</v>
      </c>
      <c r="E1936" s="8">
        <v>20.0</v>
      </c>
      <c r="F1936" s="4" t="str">
        <f t="shared" si="1"/>
        <v>500 &amp; Below</v>
      </c>
    </row>
    <row r="1937" ht="15.75" customHeight="1">
      <c r="A1937" s="4" t="s">
        <v>55</v>
      </c>
      <c r="B1937" s="7">
        <v>45977.0</v>
      </c>
      <c r="C1937" s="4" t="s">
        <v>631</v>
      </c>
      <c r="D1937" s="4" t="s">
        <v>3428</v>
      </c>
      <c r="E1937" s="8">
        <v>210.0</v>
      </c>
      <c r="F1937" s="4" t="str">
        <f t="shared" si="1"/>
        <v>500 &amp; Below</v>
      </c>
    </row>
    <row r="1938" ht="15.75" customHeight="1">
      <c r="A1938" s="4" t="s">
        <v>55</v>
      </c>
      <c r="B1938" s="7">
        <v>45977.0</v>
      </c>
      <c r="C1938" s="4" t="s">
        <v>631</v>
      </c>
      <c r="D1938" s="4" t="s">
        <v>3275</v>
      </c>
      <c r="E1938" s="8">
        <v>120.0</v>
      </c>
      <c r="F1938" s="4" t="str">
        <f t="shared" si="1"/>
        <v>500 &amp; Below</v>
      </c>
    </row>
    <row r="1939" ht="15.75" customHeight="1">
      <c r="A1939" s="4" t="s">
        <v>55</v>
      </c>
      <c r="B1939" s="7">
        <v>45978.0</v>
      </c>
      <c r="C1939" s="4" t="s">
        <v>631</v>
      </c>
      <c r="D1939" s="4" t="s">
        <v>37</v>
      </c>
      <c r="E1939" s="8">
        <v>39.0</v>
      </c>
      <c r="F1939" s="4" t="str">
        <f t="shared" si="1"/>
        <v>500 &amp; Below</v>
      </c>
    </row>
    <row r="1940" ht="15.75" customHeight="1">
      <c r="A1940" s="4" t="s">
        <v>55</v>
      </c>
      <c r="B1940" s="7">
        <v>45978.0</v>
      </c>
      <c r="C1940" s="4" t="s">
        <v>631</v>
      </c>
      <c r="D1940" s="4" t="s">
        <v>3429</v>
      </c>
      <c r="E1940" s="8">
        <v>40.0</v>
      </c>
      <c r="F1940" s="4" t="str">
        <f t="shared" si="1"/>
        <v>500 &amp; Below</v>
      </c>
    </row>
    <row r="1941" ht="15.75" customHeight="1">
      <c r="A1941" s="4" t="s">
        <v>55</v>
      </c>
      <c r="B1941" s="7">
        <v>45978.0</v>
      </c>
      <c r="C1941" s="4" t="s">
        <v>631</v>
      </c>
      <c r="D1941" s="4" t="s">
        <v>3430</v>
      </c>
      <c r="E1941" s="8">
        <v>30.0</v>
      </c>
      <c r="F1941" s="4" t="str">
        <f t="shared" si="1"/>
        <v>500 &amp; Below</v>
      </c>
    </row>
    <row r="1942" ht="15.75" customHeight="1">
      <c r="A1942" s="4" t="s">
        <v>55</v>
      </c>
      <c r="B1942" s="7">
        <v>45978.0</v>
      </c>
      <c r="C1942" s="4" t="s">
        <v>631</v>
      </c>
      <c r="D1942" s="4" t="s">
        <v>3295</v>
      </c>
      <c r="E1942" s="8">
        <v>350.0</v>
      </c>
      <c r="F1942" s="4" t="str">
        <f t="shared" si="1"/>
        <v>500 &amp; Below</v>
      </c>
    </row>
    <row r="1943" ht="15.75" customHeight="1">
      <c r="A1943" s="4" t="s">
        <v>55</v>
      </c>
      <c r="B1943" s="7">
        <v>45978.0</v>
      </c>
      <c r="C1943" s="4" t="s">
        <v>631</v>
      </c>
      <c r="D1943" s="4" t="s">
        <v>3297</v>
      </c>
      <c r="E1943" s="8">
        <v>360.0</v>
      </c>
      <c r="F1943" s="4" t="str">
        <f t="shared" si="1"/>
        <v>500 &amp; Below</v>
      </c>
    </row>
    <row r="1944" ht="15.75" customHeight="1">
      <c r="A1944" s="4" t="s">
        <v>55</v>
      </c>
      <c r="B1944" s="7">
        <v>45979.0</v>
      </c>
      <c r="C1944" s="4" t="s">
        <v>631</v>
      </c>
      <c r="D1944" s="4" t="s">
        <v>37</v>
      </c>
      <c r="E1944" s="8">
        <v>123.0</v>
      </c>
      <c r="F1944" s="4" t="str">
        <f t="shared" si="1"/>
        <v>500 &amp; Below</v>
      </c>
    </row>
    <row r="1945" ht="15.75" customHeight="1">
      <c r="A1945" s="4" t="s">
        <v>55</v>
      </c>
      <c r="B1945" s="7">
        <v>45979.0</v>
      </c>
      <c r="C1945" s="4" t="s">
        <v>631</v>
      </c>
      <c r="D1945" s="4" t="s">
        <v>79</v>
      </c>
      <c r="E1945" s="8">
        <v>20.0</v>
      </c>
      <c r="F1945" s="4" t="str">
        <f t="shared" si="1"/>
        <v>500 &amp; Below</v>
      </c>
    </row>
    <row r="1946" ht="15.75" customHeight="1">
      <c r="A1946" s="4" t="s">
        <v>55</v>
      </c>
      <c r="B1946" s="7">
        <v>45979.0</v>
      </c>
      <c r="C1946" s="4" t="s">
        <v>631</v>
      </c>
      <c r="D1946" s="4" t="s">
        <v>3431</v>
      </c>
      <c r="E1946" s="8">
        <v>440.0</v>
      </c>
      <c r="F1946" s="4" t="str">
        <f t="shared" si="1"/>
        <v>500 &amp; Below</v>
      </c>
    </row>
    <row r="1947" ht="15.75" customHeight="1">
      <c r="A1947" s="4" t="s">
        <v>55</v>
      </c>
      <c r="B1947" s="7">
        <v>45979.0</v>
      </c>
      <c r="C1947" s="4" t="s">
        <v>631</v>
      </c>
      <c r="D1947" s="4" t="s">
        <v>3432</v>
      </c>
      <c r="E1947" s="8">
        <v>100.0</v>
      </c>
      <c r="F1947" s="4" t="str">
        <f t="shared" si="1"/>
        <v>500 &amp; Below</v>
      </c>
    </row>
    <row r="1948" ht="15.75" customHeight="1">
      <c r="A1948" s="4" t="s">
        <v>55</v>
      </c>
      <c r="B1948" s="7">
        <v>45980.0</v>
      </c>
      <c r="C1948" s="4" t="s">
        <v>631</v>
      </c>
      <c r="D1948" s="4" t="s">
        <v>3433</v>
      </c>
      <c r="E1948" s="8">
        <v>5826.0</v>
      </c>
      <c r="F1948" s="4" t="str">
        <f t="shared" si="1"/>
        <v>Above 500</v>
      </c>
    </row>
    <row r="1949" ht="15.75" customHeight="1">
      <c r="A1949" s="4" t="s">
        <v>55</v>
      </c>
      <c r="B1949" s="7">
        <v>45980.0</v>
      </c>
      <c r="C1949" s="4" t="s">
        <v>631</v>
      </c>
      <c r="D1949" s="4" t="s">
        <v>39</v>
      </c>
      <c r="E1949" s="8">
        <v>20.0</v>
      </c>
      <c r="F1949" s="4" t="str">
        <f t="shared" si="1"/>
        <v>500 &amp; Below</v>
      </c>
    </row>
    <row r="1950" ht="15.75" customHeight="1">
      <c r="A1950" s="4" t="s">
        <v>55</v>
      </c>
      <c r="B1950" s="7">
        <v>45980.0</v>
      </c>
      <c r="C1950" s="4" t="s">
        <v>631</v>
      </c>
      <c r="D1950" s="4" t="s">
        <v>18</v>
      </c>
      <c r="E1950" s="8">
        <v>23.52</v>
      </c>
      <c r="F1950" s="4" t="str">
        <f t="shared" si="1"/>
        <v>500 &amp; Below</v>
      </c>
    </row>
    <row r="1951" ht="15.75" customHeight="1">
      <c r="A1951" s="4" t="s">
        <v>55</v>
      </c>
      <c r="B1951" s="7">
        <v>45980.0</v>
      </c>
      <c r="C1951" s="4" t="s">
        <v>631</v>
      </c>
      <c r="D1951" s="4" t="s">
        <v>3434</v>
      </c>
      <c r="E1951" s="8">
        <v>59.0</v>
      </c>
      <c r="F1951" s="4" t="str">
        <f t="shared" si="1"/>
        <v>500 &amp; Below</v>
      </c>
    </row>
    <row r="1952" ht="15.75" customHeight="1">
      <c r="A1952" s="4" t="s">
        <v>55</v>
      </c>
      <c r="B1952" s="7">
        <v>45980.0</v>
      </c>
      <c r="C1952" s="4" t="s">
        <v>631</v>
      </c>
      <c r="D1952" s="4" t="s">
        <v>117</v>
      </c>
      <c r="E1952" s="8">
        <v>5.0</v>
      </c>
      <c r="F1952" s="4" t="str">
        <f t="shared" si="1"/>
        <v>500 &amp; Below</v>
      </c>
    </row>
    <row r="1953" ht="15.75" customHeight="1">
      <c r="A1953" s="4" t="s">
        <v>55</v>
      </c>
      <c r="B1953" s="7">
        <v>45980.0</v>
      </c>
      <c r="C1953" s="4" t="s">
        <v>631</v>
      </c>
      <c r="D1953" s="4" t="s">
        <v>1919</v>
      </c>
      <c r="E1953" s="8">
        <v>65.0</v>
      </c>
      <c r="F1953" s="4" t="str">
        <f t="shared" si="1"/>
        <v>500 &amp; Below</v>
      </c>
    </row>
    <row r="1954" ht="15.75" customHeight="1">
      <c r="A1954" s="4" t="s">
        <v>55</v>
      </c>
      <c r="B1954" s="7">
        <v>45981.0</v>
      </c>
      <c r="C1954" s="4" t="s">
        <v>631</v>
      </c>
      <c r="D1954" s="4" t="s">
        <v>37</v>
      </c>
      <c r="E1954" s="8">
        <v>29.0</v>
      </c>
      <c r="F1954" s="4" t="str">
        <f t="shared" si="1"/>
        <v>500 &amp; Below</v>
      </c>
    </row>
    <row r="1955" ht="15.75" customHeight="1">
      <c r="A1955" s="4" t="s">
        <v>55</v>
      </c>
      <c r="B1955" s="7">
        <v>45981.0</v>
      </c>
      <c r="C1955" s="4" t="s">
        <v>631</v>
      </c>
      <c r="D1955" s="4" t="s">
        <v>18</v>
      </c>
      <c r="E1955" s="8">
        <v>33.8</v>
      </c>
      <c r="F1955" s="4" t="str">
        <f t="shared" si="1"/>
        <v>500 &amp; Below</v>
      </c>
    </row>
    <row r="1956" ht="15.75" customHeight="1">
      <c r="A1956" s="4" t="s">
        <v>55</v>
      </c>
      <c r="B1956" s="7">
        <v>45981.0</v>
      </c>
      <c r="C1956" s="4" t="s">
        <v>631</v>
      </c>
      <c r="D1956" s="4" t="s">
        <v>107</v>
      </c>
      <c r="E1956" s="8">
        <v>20.0</v>
      </c>
      <c r="F1956" s="4" t="str">
        <f t="shared" si="1"/>
        <v>500 &amp; Below</v>
      </c>
    </row>
    <row r="1957" ht="15.75" customHeight="1">
      <c r="A1957" s="4" t="s">
        <v>55</v>
      </c>
      <c r="B1957" s="7">
        <v>45981.0</v>
      </c>
      <c r="C1957" s="4" t="s">
        <v>631</v>
      </c>
      <c r="D1957" s="4" t="s">
        <v>37</v>
      </c>
      <c r="E1957" s="8">
        <v>29.0</v>
      </c>
      <c r="F1957" s="4" t="str">
        <f t="shared" si="1"/>
        <v>500 &amp; Below</v>
      </c>
    </row>
    <row r="1958" ht="15.75" customHeight="1">
      <c r="A1958" s="4" t="s">
        <v>55</v>
      </c>
      <c r="B1958" s="7">
        <v>45982.0</v>
      </c>
      <c r="C1958" s="4" t="s">
        <v>631</v>
      </c>
      <c r="D1958" s="4" t="s">
        <v>3218</v>
      </c>
      <c r="E1958" s="8">
        <v>460.0</v>
      </c>
      <c r="F1958" s="4" t="str">
        <f t="shared" si="1"/>
        <v>500 &amp; Below</v>
      </c>
    </row>
    <row r="1959" ht="15.75" customHeight="1">
      <c r="A1959" s="4" t="s">
        <v>55</v>
      </c>
      <c r="B1959" s="7">
        <v>45982.0</v>
      </c>
      <c r="C1959" s="4" t="s">
        <v>631</v>
      </c>
      <c r="D1959" s="4" t="s">
        <v>3435</v>
      </c>
      <c r="E1959" s="8">
        <v>20.0</v>
      </c>
      <c r="F1959" s="4" t="str">
        <f t="shared" si="1"/>
        <v>500 &amp; Below</v>
      </c>
    </row>
    <row r="1960" ht="15.75" customHeight="1">
      <c r="A1960" s="4" t="s">
        <v>55</v>
      </c>
      <c r="B1960" s="7">
        <v>45982.0</v>
      </c>
      <c r="C1960" s="4" t="s">
        <v>631</v>
      </c>
      <c r="D1960" s="4" t="s">
        <v>3434</v>
      </c>
      <c r="E1960" s="8">
        <v>352.08</v>
      </c>
      <c r="F1960" s="4" t="str">
        <f t="shared" si="1"/>
        <v>500 &amp; Below</v>
      </c>
    </row>
    <row r="1961" ht="15.75" customHeight="1">
      <c r="A1961" s="4" t="s">
        <v>55</v>
      </c>
      <c r="B1961" s="7">
        <v>45982.0</v>
      </c>
      <c r="C1961" s="4" t="s">
        <v>631</v>
      </c>
      <c r="D1961" s="4" t="s">
        <v>3436</v>
      </c>
      <c r="E1961" s="8">
        <v>1908.0</v>
      </c>
      <c r="F1961" s="4" t="str">
        <f t="shared" si="1"/>
        <v>Above 500</v>
      </c>
    </row>
    <row r="1962" ht="15.75" customHeight="1">
      <c r="A1962" s="4" t="s">
        <v>55</v>
      </c>
      <c r="B1962" s="7">
        <v>45982.0</v>
      </c>
      <c r="C1962" s="4" t="s">
        <v>631</v>
      </c>
      <c r="D1962" s="4" t="s">
        <v>3437</v>
      </c>
      <c r="E1962" s="8">
        <v>10.0</v>
      </c>
      <c r="F1962" s="4" t="str">
        <f t="shared" si="1"/>
        <v>500 &amp; Below</v>
      </c>
    </row>
    <row r="1963" ht="15.75" customHeight="1">
      <c r="A1963" s="4" t="s">
        <v>55</v>
      </c>
      <c r="B1963" s="7">
        <v>45982.0</v>
      </c>
      <c r="C1963" s="4" t="s">
        <v>631</v>
      </c>
      <c r="D1963" s="4" t="s">
        <v>3438</v>
      </c>
      <c r="E1963" s="8">
        <v>10.0</v>
      </c>
      <c r="F1963" s="4" t="str">
        <f t="shared" si="1"/>
        <v>500 &amp; Below</v>
      </c>
    </row>
    <row r="1964" ht="15.75" customHeight="1">
      <c r="A1964" s="4" t="s">
        <v>55</v>
      </c>
      <c r="B1964" s="7">
        <v>45982.0</v>
      </c>
      <c r="C1964" s="4" t="s">
        <v>631</v>
      </c>
      <c r="D1964" s="4" t="s">
        <v>3439</v>
      </c>
      <c r="E1964" s="8">
        <v>72.0</v>
      </c>
      <c r="F1964" s="4" t="str">
        <f t="shared" si="1"/>
        <v>500 &amp; Below</v>
      </c>
    </row>
    <row r="1965" ht="15.75" customHeight="1">
      <c r="A1965" s="4" t="s">
        <v>55</v>
      </c>
      <c r="B1965" s="7">
        <v>45982.0</v>
      </c>
      <c r="C1965" s="4" t="s">
        <v>631</v>
      </c>
      <c r="D1965" s="4" t="s">
        <v>1718</v>
      </c>
      <c r="E1965" s="8">
        <v>1531.0</v>
      </c>
      <c r="F1965" s="4" t="str">
        <f t="shared" si="1"/>
        <v>Above 500</v>
      </c>
    </row>
    <row r="1966" ht="15.75" customHeight="1">
      <c r="A1966" s="4" t="s">
        <v>55</v>
      </c>
      <c r="B1966" s="7">
        <v>45982.0</v>
      </c>
      <c r="C1966" s="4" t="s">
        <v>631</v>
      </c>
      <c r="D1966" s="4" t="s">
        <v>37</v>
      </c>
      <c r="E1966" s="8">
        <v>29.0</v>
      </c>
      <c r="F1966" s="4" t="str">
        <f t="shared" si="1"/>
        <v>500 &amp; Below</v>
      </c>
    </row>
    <row r="1967" ht="15.75" customHeight="1">
      <c r="A1967" s="4" t="s">
        <v>55</v>
      </c>
      <c r="B1967" s="7">
        <v>45982.0</v>
      </c>
      <c r="C1967" s="4" t="s">
        <v>631</v>
      </c>
      <c r="D1967" s="4" t="s">
        <v>3440</v>
      </c>
      <c r="E1967" s="8">
        <v>2500.0</v>
      </c>
      <c r="F1967" s="4" t="str">
        <f t="shared" si="1"/>
        <v>Above 500</v>
      </c>
    </row>
    <row r="1968" ht="15.75" customHeight="1">
      <c r="A1968" s="4" t="s">
        <v>55</v>
      </c>
      <c r="B1968" s="7">
        <v>45982.0</v>
      </c>
      <c r="C1968" s="4" t="s">
        <v>631</v>
      </c>
      <c r="D1968" s="4" t="s">
        <v>2357</v>
      </c>
      <c r="E1968" s="8">
        <v>305.0</v>
      </c>
      <c r="F1968" s="4" t="str">
        <f t="shared" si="1"/>
        <v>500 &amp; Below</v>
      </c>
    </row>
    <row r="1969" ht="15.75" customHeight="1">
      <c r="A1969" s="4" t="s">
        <v>55</v>
      </c>
      <c r="B1969" s="7">
        <v>45982.0</v>
      </c>
      <c r="C1969" s="4" t="s">
        <v>631</v>
      </c>
      <c r="D1969" s="4" t="s">
        <v>79</v>
      </c>
      <c r="E1969" s="8">
        <v>20.0</v>
      </c>
      <c r="F1969" s="4" t="str">
        <f t="shared" si="1"/>
        <v>500 &amp; Below</v>
      </c>
    </row>
    <row r="1970" ht="15.75" customHeight="1">
      <c r="A1970" s="4" t="s">
        <v>55</v>
      </c>
      <c r="B1970" s="7">
        <v>45982.0</v>
      </c>
      <c r="C1970" s="4" t="s">
        <v>631</v>
      </c>
      <c r="D1970" s="4" t="s">
        <v>2928</v>
      </c>
      <c r="E1970" s="8">
        <v>20.0</v>
      </c>
      <c r="F1970" s="4" t="str">
        <f t="shared" si="1"/>
        <v>500 &amp; Below</v>
      </c>
    </row>
    <row r="1971" ht="15.75" customHeight="1">
      <c r="A1971" s="4" t="s">
        <v>55</v>
      </c>
      <c r="B1971" s="7">
        <v>45983.0</v>
      </c>
      <c r="C1971" s="4" t="s">
        <v>631</v>
      </c>
      <c r="D1971" s="4" t="s">
        <v>3441</v>
      </c>
      <c r="E1971" s="8">
        <v>355.0</v>
      </c>
      <c r="F1971" s="4" t="str">
        <f t="shared" si="1"/>
        <v>500 &amp; Below</v>
      </c>
    </row>
    <row r="1972" ht="15.75" customHeight="1">
      <c r="A1972" s="4" t="s">
        <v>55</v>
      </c>
      <c r="B1972" s="7">
        <v>45983.0</v>
      </c>
      <c r="C1972" s="4" t="s">
        <v>631</v>
      </c>
      <c r="D1972" s="4" t="s">
        <v>1392</v>
      </c>
      <c r="E1972" s="8">
        <v>76.0</v>
      </c>
      <c r="F1972" s="4" t="str">
        <f t="shared" si="1"/>
        <v>500 &amp; Below</v>
      </c>
    </row>
    <row r="1973" ht="15.75" customHeight="1">
      <c r="A1973" s="4" t="s">
        <v>55</v>
      </c>
      <c r="B1973" s="7">
        <v>45983.0</v>
      </c>
      <c r="C1973" s="4" t="s">
        <v>631</v>
      </c>
      <c r="D1973" s="4" t="s">
        <v>3275</v>
      </c>
      <c r="E1973" s="8">
        <v>290.0</v>
      </c>
      <c r="F1973" s="4" t="str">
        <f t="shared" si="1"/>
        <v>500 &amp; Below</v>
      </c>
    </row>
    <row r="1974" ht="15.75" customHeight="1">
      <c r="A1974" s="4" t="s">
        <v>55</v>
      </c>
      <c r="B1974" s="7">
        <v>45984.0</v>
      </c>
      <c r="C1974" s="4" t="s">
        <v>631</v>
      </c>
      <c r="D1974" s="4" t="s">
        <v>124</v>
      </c>
      <c r="E1974" s="8">
        <v>299.0</v>
      </c>
      <c r="F1974" s="4" t="str">
        <f t="shared" si="1"/>
        <v>500 &amp; Below</v>
      </c>
    </row>
    <row r="1975" ht="15.75" customHeight="1">
      <c r="A1975" s="4" t="s">
        <v>55</v>
      </c>
      <c r="B1975" s="7">
        <v>45984.0</v>
      </c>
      <c r="C1975" s="4" t="s">
        <v>631</v>
      </c>
      <c r="D1975" s="4" t="s">
        <v>37</v>
      </c>
      <c r="E1975" s="8">
        <v>29.0</v>
      </c>
      <c r="F1975" s="4" t="str">
        <f t="shared" si="1"/>
        <v>500 &amp; Below</v>
      </c>
    </row>
    <row r="1976" ht="15.75" customHeight="1">
      <c r="A1976" s="4" t="s">
        <v>55</v>
      </c>
      <c r="B1976" s="7">
        <v>45984.0</v>
      </c>
      <c r="C1976" s="4" t="s">
        <v>631</v>
      </c>
      <c r="D1976" s="4" t="s">
        <v>120</v>
      </c>
      <c r="E1976" s="8">
        <v>20.0</v>
      </c>
      <c r="F1976" s="4" t="str">
        <f t="shared" si="1"/>
        <v>500 &amp; Below</v>
      </c>
    </row>
    <row r="1977" ht="15.75" customHeight="1">
      <c r="A1977" s="4" t="s">
        <v>55</v>
      </c>
      <c r="B1977" s="7">
        <v>45985.0</v>
      </c>
      <c r="C1977" s="4" t="s">
        <v>631</v>
      </c>
      <c r="D1977" s="4" t="s">
        <v>1340</v>
      </c>
      <c r="E1977" s="8">
        <v>305.0</v>
      </c>
      <c r="F1977" s="4" t="str">
        <f t="shared" si="1"/>
        <v>500 &amp; Below</v>
      </c>
    </row>
    <row r="1978" ht="15.75" customHeight="1">
      <c r="A1978" s="4" t="s">
        <v>55</v>
      </c>
      <c r="B1978" s="7">
        <v>45985.0</v>
      </c>
      <c r="C1978" s="4" t="s">
        <v>631</v>
      </c>
      <c r="D1978" s="4" t="s">
        <v>3442</v>
      </c>
      <c r="E1978" s="8">
        <v>200.0</v>
      </c>
      <c r="F1978" s="4" t="str">
        <f t="shared" si="1"/>
        <v>500 &amp; Below</v>
      </c>
    </row>
    <row r="1979" ht="15.75" customHeight="1">
      <c r="A1979" s="4" t="s">
        <v>55</v>
      </c>
      <c r="B1979" s="7">
        <v>45986.0</v>
      </c>
      <c r="C1979" s="4" t="s">
        <v>631</v>
      </c>
      <c r="D1979" s="4" t="s">
        <v>826</v>
      </c>
      <c r="E1979" s="8">
        <v>172.0</v>
      </c>
      <c r="F1979" s="4" t="str">
        <f t="shared" si="1"/>
        <v>500 &amp; Below</v>
      </c>
    </row>
    <row r="1980" ht="15.75" customHeight="1">
      <c r="A1980" s="4" t="s">
        <v>55</v>
      </c>
      <c r="B1980" s="7">
        <v>45986.0</v>
      </c>
      <c r="C1980" s="4" t="s">
        <v>631</v>
      </c>
      <c r="D1980" s="4" t="s">
        <v>3443</v>
      </c>
      <c r="E1980" s="8">
        <v>374.92</v>
      </c>
      <c r="F1980" s="4" t="str">
        <f t="shared" si="1"/>
        <v>500 &amp; Below</v>
      </c>
    </row>
    <row r="1981" ht="15.75" customHeight="1">
      <c r="A1981" s="4" t="s">
        <v>55</v>
      </c>
      <c r="B1981" s="7">
        <v>45986.0</v>
      </c>
      <c r="C1981" s="4" t="s">
        <v>631</v>
      </c>
      <c r="D1981" s="4" t="s">
        <v>37</v>
      </c>
      <c r="E1981" s="8">
        <v>39.0</v>
      </c>
      <c r="F1981" s="4" t="str">
        <f t="shared" si="1"/>
        <v>500 &amp; Below</v>
      </c>
    </row>
    <row r="1982" ht="15.75" customHeight="1">
      <c r="A1982" s="4" t="s">
        <v>55</v>
      </c>
      <c r="B1982" s="7">
        <v>45986.0</v>
      </c>
      <c r="C1982" s="4" t="s">
        <v>631</v>
      </c>
      <c r="D1982" s="4" t="s">
        <v>989</v>
      </c>
      <c r="E1982" s="8">
        <v>140.0</v>
      </c>
      <c r="F1982" s="4" t="str">
        <f t="shared" si="1"/>
        <v>500 &amp; Below</v>
      </c>
    </row>
    <row r="1983" ht="15.75" customHeight="1">
      <c r="A1983" s="4" t="s">
        <v>55</v>
      </c>
      <c r="B1983" s="7">
        <v>45986.0</v>
      </c>
      <c r="C1983" s="4" t="s">
        <v>631</v>
      </c>
      <c r="D1983" s="4" t="s">
        <v>2357</v>
      </c>
      <c r="E1983" s="8">
        <v>305.0</v>
      </c>
      <c r="F1983" s="4" t="str">
        <f t="shared" si="1"/>
        <v>500 &amp; Below</v>
      </c>
    </row>
    <row r="1984" ht="15.75" customHeight="1">
      <c r="A1984" s="4" t="s">
        <v>55</v>
      </c>
      <c r="B1984" s="7">
        <v>45987.0</v>
      </c>
      <c r="C1984" s="4" t="s">
        <v>631</v>
      </c>
      <c r="D1984" s="4" t="s">
        <v>33</v>
      </c>
      <c r="E1984" s="8">
        <v>194.0</v>
      </c>
      <c r="F1984" s="4" t="str">
        <f t="shared" si="1"/>
        <v>500 &amp; Below</v>
      </c>
    </row>
    <row r="1985" ht="15.75" customHeight="1">
      <c r="A1985" s="4" t="s">
        <v>55</v>
      </c>
      <c r="B1985" s="7">
        <v>45987.0</v>
      </c>
      <c r="C1985" s="4" t="s">
        <v>631</v>
      </c>
      <c r="D1985" s="4" t="s">
        <v>1698</v>
      </c>
      <c r="E1985" s="8">
        <v>51.38</v>
      </c>
      <c r="F1985" s="4" t="str">
        <f t="shared" si="1"/>
        <v>500 &amp; Below</v>
      </c>
    </row>
    <row r="1986" ht="15.75" customHeight="1">
      <c r="A1986" s="4" t="s">
        <v>55</v>
      </c>
      <c r="B1986" s="7">
        <v>45987.0</v>
      </c>
      <c r="C1986" s="4" t="s">
        <v>631</v>
      </c>
      <c r="D1986" s="4" t="s">
        <v>3444</v>
      </c>
      <c r="E1986" s="8">
        <v>480.0</v>
      </c>
      <c r="F1986" s="4" t="str">
        <f t="shared" si="1"/>
        <v>500 &amp; Below</v>
      </c>
    </row>
    <row r="1987" ht="15.75" customHeight="1">
      <c r="A1987" s="4" t="s">
        <v>55</v>
      </c>
      <c r="B1987" s="7">
        <v>45987.0</v>
      </c>
      <c r="C1987" s="4" t="s">
        <v>631</v>
      </c>
      <c r="D1987" s="4" t="s">
        <v>3445</v>
      </c>
      <c r="E1987" s="8">
        <v>260.0</v>
      </c>
      <c r="F1987" s="4" t="str">
        <f t="shared" si="1"/>
        <v>500 &amp; Below</v>
      </c>
    </row>
    <row r="1988" ht="15.75" customHeight="1">
      <c r="A1988" s="4" t="s">
        <v>55</v>
      </c>
      <c r="B1988" s="7">
        <v>45987.0</v>
      </c>
      <c r="C1988" s="4" t="s">
        <v>631</v>
      </c>
      <c r="D1988" s="4" t="s">
        <v>3213</v>
      </c>
      <c r="E1988" s="8">
        <v>20.0</v>
      </c>
      <c r="F1988" s="4" t="str">
        <f t="shared" si="1"/>
        <v>500 &amp; Below</v>
      </c>
    </row>
    <row r="1989" ht="15.75" customHeight="1">
      <c r="A1989" s="4" t="s">
        <v>55</v>
      </c>
      <c r="B1989" s="7">
        <v>45989.0</v>
      </c>
      <c r="C1989" s="4" t="s">
        <v>631</v>
      </c>
      <c r="D1989" s="4" t="s">
        <v>3446</v>
      </c>
      <c r="E1989" s="8">
        <v>70.0</v>
      </c>
      <c r="F1989" s="4" t="str">
        <f t="shared" si="1"/>
        <v>500 &amp; Below</v>
      </c>
    </row>
    <row r="1990" ht="15.75" customHeight="1">
      <c r="A1990" s="4" t="s">
        <v>55</v>
      </c>
      <c r="B1990" s="7">
        <v>45989.0</v>
      </c>
      <c r="C1990" s="4" t="s">
        <v>631</v>
      </c>
      <c r="D1990" s="4" t="s">
        <v>37</v>
      </c>
      <c r="E1990" s="8">
        <v>319.0</v>
      </c>
      <c r="F1990" s="4" t="str">
        <f t="shared" si="1"/>
        <v>500 &amp; Below</v>
      </c>
    </row>
    <row r="1991" ht="15.75" customHeight="1">
      <c r="A1991" s="4" t="s">
        <v>55</v>
      </c>
      <c r="B1991" s="7">
        <v>45989.0</v>
      </c>
      <c r="C1991" s="4" t="s">
        <v>631</v>
      </c>
      <c r="D1991" s="4" t="s">
        <v>3447</v>
      </c>
      <c r="E1991" s="8">
        <v>100.0</v>
      </c>
      <c r="F1991" s="4" t="str">
        <f t="shared" si="1"/>
        <v>500 &amp; Below</v>
      </c>
    </row>
    <row r="1992" ht="15.75" customHeight="1">
      <c r="A1992" s="4" t="s">
        <v>55</v>
      </c>
      <c r="B1992" s="7">
        <v>45989.0</v>
      </c>
      <c r="C1992" s="4" t="s">
        <v>631</v>
      </c>
      <c r="D1992" s="4" t="s">
        <v>3183</v>
      </c>
      <c r="E1992" s="8">
        <v>1332.0</v>
      </c>
      <c r="F1992" s="4" t="str">
        <f t="shared" si="1"/>
        <v>Above 500</v>
      </c>
    </row>
    <row r="1993" ht="15.75" customHeight="1">
      <c r="A1993" s="4" t="s">
        <v>55</v>
      </c>
      <c r="B1993" s="7">
        <v>45989.0</v>
      </c>
      <c r="C1993" s="4" t="s">
        <v>631</v>
      </c>
      <c r="D1993" s="4" t="s">
        <v>3268</v>
      </c>
      <c r="E1993" s="8">
        <v>551.8</v>
      </c>
      <c r="F1993" s="4" t="str">
        <f t="shared" si="1"/>
        <v>Above 500</v>
      </c>
    </row>
    <row r="1994" ht="15.75" customHeight="1">
      <c r="A1994" s="4" t="s">
        <v>55</v>
      </c>
      <c r="B1994" s="7">
        <v>45990.0</v>
      </c>
      <c r="C1994" s="4" t="s">
        <v>631</v>
      </c>
      <c r="D1994" s="4" t="s">
        <v>3448</v>
      </c>
      <c r="E1994" s="8">
        <v>120.0</v>
      </c>
      <c r="F1994" s="4" t="str">
        <f t="shared" si="1"/>
        <v>500 &amp; Below</v>
      </c>
    </row>
    <row r="1995" ht="15.75" customHeight="1">
      <c r="A1995" s="4" t="s">
        <v>55</v>
      </c>
      <c r="B1995" s="7">
        <v>45990.0</v>
      </c>
      <c r="C1995" s="4" t="s">
        <v>631</v>
      </c>
      <c r="D1995" s="4" t="s">
        <v>3449</v>
      </c>
      <c r="E1995" s="8">
        <v>750.0</v>
      </c>
      <c r="F1995" s="4" t="str">
        <f t="shared" si="1"/>
        <v>Above 500</v>
      </c>
    </row>
    <row r="1996" ht="15.75" customHeight="1">
      <c r="A1996" s="4" t="s">
        <v>55</v>
      </c>
      <c r="B1996" s="7">
        <v>45990.0</v>
      </c>
      <c r="C1996" s="4" t="s">
        <v>631</v>
      </c>
      <c r="D1996" s="4" t="s">
        <v>1933</v>
      </c>
      <c r="E1996" s="8">
        <v>80.0</v>
      </c>
      <c r="F1996" s="4" t="str">
        <f t="shared" si="1"/>
        <v>500 &amp; Below</v>
      </c>
    </row>
    <row r="1997" ht="15.75" customHeight="1">
      <c r="A1997" s="4" t="s">
        <v>55</v>
      </c>
      <c r="B1997" s="7">
        <v>45990.0</v>
      </c>
      <c r="C1997" s="4" t="s">
        <v>631</v>
      </c>
      <c r="D1997" s="4" t="s">
        <v>37</v>
      </c>
      <c r="E1997" s="8">
        <v>39.0</v>
      </c>
      <c r="F1997" s="4" t="str">
        <f t="shared" si="1"/>
        <v>500 &amp; Below</v>
      </c>
    </row>
    <row r="1998" ht="15.75" customHeight="1">
      <c r="A1998" s="4" t="s">
        <v>55</v>
      </c>
      <c r="B1998" s="7">
        <v>45991.0</v>
      </c>
      <c r="C1998" s="4" t="s">
        <v>631</v>
      </c>
      <c r="D1998" s="4" t="s">
        <v>3304</v>
      </c>
      <c r="E1998" s="8">
        <v>103.0</v>
      </c>
      <c r="F1998" s="4" t="str">
        <f t="shared" si="1"/>
        <v>500 &amp; Below</v>
      </c>
    </row>
    <row r="1999" ht="15.75" customHeight="1">
      <c r="A1999" s="4" t="s">
        <v>55</v>
      </c>
      <c r="B1999" s="7">
        <v>45991.0</v>
      </c>
      <c r="C1999" s="4" t="s">
        <v>631</v>
      </c>
      <c r="D1999" s="4" t="s">
        <v>3249</v>
      </c>
      <c r="E1999" s="8">
        <v>21.0</v>
      </c>
      <c r="F1999" s="4" t="str">
        <f t="shared" si="1"/>
        <v>500 &amp; Below</v>
      </c>
    </row>
    <row r="2000" ht="15.75" customHeight="1">
      <c r="A2000" s="4" t="s">
        <v>55</v>
      </c>
      <c r="B2000" s="7">
        <v>45991.0</v>
      </c>
      <c r="C2000" s="4" t="s">
        <v>631</v>
      </c>
      <c r="D2000" s="4" t="s">
        <v>37</v>
      </c>
      <c r="E2000" s="8">
        <v>299.0</v>
      </c>
      <c r="F2000" s="4" t="str">
        <f t="shared" si="1"/>
        <v>500 &amp; Below</v>
      </c>
    </row>
    <row r="2001" ht="15.75" customHeight="1">
      <c r="A2001" s="4" t="s">
        <v>55</v>
      </c>
      <c r="B2001" s="7">
        <v>45991.0</v>
      </c>
      <c r="C2001" s="4" t="s">
        <v>631</v>
      </c>
      <c r="D2001" s="4" t="s">
        <v>39</v>
      </c>
      <c r="E2001" s="8">
        <v>20.0</v>
      </c>
      <c r="F2001" s="4" t="str">
        <f t="shared" si="1"/>
        <v>500 &amp; Below</v>
      </c>
    </row>
    <row r="2002" ht="15.75" customHeight="1">
      <c r="A2002" s="4" t="s">
        <v>55</v>
      </c>
      <c r="B2002" s="7">
        <v>45992.0</v>
      </c>
      <c r="C2002" s="4" t="s">
        <v>694</v>
      </c>
      <c r="D2002" s="4" t="s">
        <v>3250</v>
      </c>
      <c r="E2002" s="8">
        <v>210.0</v>
      </c>
      <c r="F2002" s="4" t="str">
        <f t="shared" si="1"/>
        <v>500 &amp; Below</v>
      </c>
    </row>
    <row r="2003" ht="15.75" customHeight="1">
      <c r="A2003" s="4" t="s">
        <v>55</v>
      </c>
      <c r="B2003" s="7">
        <v>45992.0</v>
      </c>
      <c r="C2003" s="4" t="s">
        <v>694</v>
      </c>
      <c r="D2003" s="4" t="s">
        <v>3429</v>
      </c>
      <c r="E2003" s="8">
        <v>40.0</v>
      </c>
      <c r="F2003" s="4" t="str">
        <f t="shared" si="1"/>
        <v>500 &amp; Below</v>
      </c>
    </row>
    <row r="2004" ht="15.75" customHeight="1">
      <c r="A2004" s="4" t="s">
        <v>55</v>
      </c>
      <c r="B2004" s="7">
        <v>45992.0</v>
      </c>
      <c r="C2004" s="4" t="s">
        <v>694</v>
      </c>
      <c r="D2004" s="4" t="s">
        <v>3450</v>
      </c>
      <c r="E2004" s="8">
        <v>5700.0</v>
      </c>
      <c r="F2004" s="4" t="str">
        <f t="shared" si="1"/>
        <v>Above 500</v>
      </c>
    </row>
    <row r="2005" ht="15.75" customHeight="1">
      <c r="A2005" s="4" t="s">
        <v>55</v>
      </c>
      <c r="B2005" s="7">
        <v>45992.0</v>
      </c>
      <c r="C2005" s="4" t="s">
        <v>694</v>
      </c>
      <c r="D2005" s="4" t="s">
        <v>3217</v>
      </c>
      <c r="E2005" s="8">
        <v>5700.0</v>
      </c>
      <c r="F2005" s="4" t="str">
        <f t="shared" si="1"/>
        <v>Above 500</v>
      </c>
    </row>
    <row r="2006" ht="15.75" customHeight="1">
      <c r="A2006" s="4" t="s">
        <v>55</v>
      </c>
      <c r="B2006" s="7">
        <v>45992.0</v>
      </c>
      <c r="C2006" s="4" t="s">
        <v>694</v>
      </c>
      <c r="D2006" s="4" t="s">
        <v>3451</v>
      </c>
      <c r="E2006" s="8">
        <v>6500.0</v>
      </c>
      <c r="F2006" s="4" t="str">
        <f t="shared" si="1"/>
        <v>Above 500</v>
      </c>
    </row>
    <row r="2007" ht="15.75" customHeight="1">
      <c r="A2007" s="4" t="s">
        <v>55</v>
      </c>
      <c r="B2007" s="7">
        <v>45992.0</v>
      </c>
      <c r="C2007" s="4" t="s">
        <v>694</v>
      </c>
      <c r="D2007" s="4" t="s">
        <v>47</v>
      </c>
      <c r="E2007" s="8">
        <v>80.0</v>
      </c>
      <c r="F2007" s="4" t="str">
        <f t="shared" si="1"/>
        <v>500 &amp; Below</v>
      </c>
    </row>
    <row r="2008" ht="15.75" customHeight="1">
      <c r="A2008" s="4" t="s">
        <v>55</v>
      </c>
      <c r="B2008" s="7">
        <v>45992.0</v>
      </c>
      <c r="C2008" s="4" t="s">
        <v>694</v>
      </c>
      <c r="D2008" s="4" t="s">
        <v>3254</v>
      </c>
      <c r="E2008" s="8">
        <v>230.0</v>
      </c>
      <c r="F2008" s="4" t="str">
        <f t="shared" si="1"/>
        <v>500 &amp; Below</v>
      </c>
    </row>
    <row r="2009" ht="15.75" customHeight="1">
      <c r="A2009" s="4" t="s">
        <v>55</v>
      </c>
      <c r="B2009" s="7">
        <v>45993.0</v>
      </c>
      <c r="C2009" s="4" t="s">
        <v>694</v>
      </c>
      <c r="D2009" s="4" t="s">
        <v>39</v>
      </c>
      <c r="E2009" s="8">
        <v>30.0</v>
      </c>
      <c r="F2009" s="4" t="str">
        <f t="shared" si="1"/>
        <v>500 &amp; Below</v>
      </c>
    </row>
    <row r="2010" ht="15.75" customHeight="1">
      <c r="A2010" s="4" t="s">
        <v>55</v>
      </c>
      <c r="B2010" s="7">
        <v>45993.0</v>
      </c>
      <c r="C2010" s="4" t="s">
        <v>694</v>
      </c>
      <c r="D2010" s="4" t="s">
        <v>108</v>
      </c>
      <c r="E2010" s="8">
        <v>90.0</v>
      </c>
      <c r="F2010" s="4" t="str">
        <f t="shared" si="1"/>
        <v>500 &amp; Below</v>
      </c>
    </row>
    <row r="2011" ht="15.75" customHeight="1">
      <c r="A2011" s="4" t="s">
        <v>55</v>
      </c>
      <c r="B2011" s="7">
        <v>45993.0</v>
      </c>
      <c r="C2011" s="4" t="s">
        <v>694</v>
      </c>
      <c r="D2011" s="4" t="s">
        <v>37</v>
      </c>
      <c r="E2011" s="8">
        <v>39.0</v>
      </c>
      <c r="F2011" s="4" t="str">
        <f t="shared" si="1"/>
        <v>500 &amp; Below</v>
      </c>
    </row>
    <row r="2012" ht="15.75" customHeight="1">
      <c r="A2012" s="4" t="s">
        <v>55</v>
      </c>
      <c r="B2012" s="7">
        <v>45993.0</v>
      </c>
      <c r="C2012" s="4" t="s">
        <v>694</v>
      </c>
      <c r="D2012" s="4" t="s">
        <v>3218</v>
      </c>
      <c r="E2012" s="8">
        <v>199.0</v>
      </c>
      <c r="F2012" s="4" t="str">
        <f t="shared" si="1"/>
        <v>500 &amp; Below</v>
      </c>
    </row>
    <row r="2013" ht="15.75" customHeight="1">
      <c r="A2013" s="4" t="s">
        <v>55</v>
      </c>
      <c r="B2013" s="7">
        <v>45993.0</v>
      </c>
      <c r="C2013" s="4" t="s">
        <v>694</v>
      </c>
      <c r="D2013" s="4" t="s">
        <v>3275</v>
      </c>
      <c r="E2013" s="8">
        <v>110.0</v>
      </c>
      <c r="F2013" s="4" t="str">
        <f t="shared" si="1"/>
        <v>500 &amp; Below</v>
      </c>
    </row>
    <row r="2014" ht="15.75" customHeight="1">
      <c r="A2014" s="4" t="s">
        <v>55</v>
      </c>
      <c r="B2014" s="7">
        <v>45994.0</v>
      </c>
      <c r="C2014" s="4" t="s">
        <v>694</v>
      </c>
      <c r="D2014" s="4" t="s">
        <v>2357</v>
      </c>
      <c r="E2014" s="8">
        <v>305.0</v>
      </c>
      <c r="F2014" s="4" t="str">
        <f t="shared" si="1"/>
        <v>500 &amp; Below</v>
      </c>
    </row>
    <row r="2015" ht="15.75" customHeight="1">
      <c r="A2015" s="4" t="s">
        <v>55</v>
      </c>
      <c r="B2015" s="7">
        <v>45994.0</v>
      </c>
      <c r="C2015" s="4" t="s">
        <v>694</v>
      </c>
      <c r="D2015" s="4" t="s">
        <v>3218</v>
      </c>
      <c r="E2015" s="8">
        <v>289.0</v>
      </c>
      <c r="F2015" s="4" t="str">
        <f t="shared" si="1"/>
        <v>500 &amp; Below</v>
      </c>
    </row>
    <row r="2016" ht="15.75" customHeight="1">
      <c r="A2016" s="4" t="s">
        <v>55</v>
      </c>
      <c r="B2016" s="7">
        <v>45994.0</v>
      </c>
      <c r="C2016" s="4" t="s">
        <v>694</v>
      </c>
      <c r="D2016" s="4" t="s">
        <v>1392</v>
      </c>
      <c r="E2016" s="8">
        <v>120.0</v>
      </c>
      <c r="F2016" s="4" t="str">
        <f t="shared" si="1"/>
        <v>500 &amp; Below</v>
      </c>
    </row>
    <row r="2017" ht="15.75" customHeight="1">
      <c r="A2017" s="4" t="s">
        <v>55</v>
      </c>
      <c r="B2017" s="7">
        <v>45995.0</v>
      </c>
      <c r="C2017" s="4" t="s">
        <v>694</v>
      </c>
      <c r="D2017" s="4" t="s">
        <v>1453</v>
      </c>
      <c r="E2017" s="8">
        <v>100.0</v>
      </c>
      <c r="F2017" s="4" t="str">
        <f t="shared" si="1"/>
        <v>500 &amp; Below</v>
      </c>
    </row>
    <row r="2018" ht="15.75" customHeight="1">
      <c r="A2018" s="4" t="s">
        <v>55</v>
      </c>
      <c r="B2018" s="7">
        <v>45995.0</v>
      </c>
      <c r="C2018" s="4" t="s">
        <v>694</v>
      </c>
      <c r="D2018" s="4" t="s">
        <v>1507</v>
      </c>
      <c r="E2018" s="8">
        <v>45.0</v>
      </c>
      <c r="F2018" s="4" t="str">
        <f t="shared" si="1"/>
        <v>500 &amp; Below</v>
      </c>
    </row>
    <row r="2019" ht="15.75" customHeight="1">
      <c r="A2019" s="4" t="s">
        <v>55</v>
      </c>
      <c r="B2019" s="7">
        <v>45995.0</v>
      </c>
      <c r="C2019" s="4" t="s">
        <v>694</v>
      </c>
      <c r="D2019" s="4" t="s">
        <v>47</v>
      </c>
      <c r="E2019" s="8">
        <v>40.0</v>
      </c>
      <c r="F2019" s="4" t="str">
        <f t="shared" si="1"/>
        <v>500 &amp; Below</v>
      </c>
    </row>
    <row r="2020" ht="15.75" customHeight="1">
      <c r="A2020" s="4" t="s">
        <v>55</v>
      </c>
      <c r="B2020" s="7">
        <v>45996.0</v>
      </c>
      <c r="C2020" s="4" t="s">
        <v>694</v>
      </c>
      <c r="D2020" s="4" t="s">
        <v>26</v>
      </c>
      <c r="E2020" s="8">
        <v>220.0</v>
      </c>
      <c r="F2020" s="4" t="str">
        <f t="shared" si="1"/>
        <v>500 &amp; Below</v>
      </c>
    </row>
    <row r="2021" ht="15.75" customHeight="1">
      <c r="A2021" s="4" t="s">
        <v>55</v>
      </c>
      <c r="B2021" s="7">
        <v>45996.0</v>
      </c>
      <c r="C2021" s="4" t="s">
        <v>694</v>
      </c>
      <c r="D2021" s="4" t="s">
        <v>3310</v>
      </c>
      <c r="E2021" s="8">
        <v>10.0</v>
      </c>
      <c r="F2021" s="4" t="str">
        <f t="shared" si="1"/>
        <v>500 &amp; Below</v>
      </c>
    </row>
    <row r="2022" ht="15.75" customHeight="1">
      <c r="A2022" s="4" t="s">
        <v>55</v>
      </c>
      <c r="B2022" s="7">
        <v>45996.0</v>
      </c>
      <c r="C2022" s="4" t="s">
        <v>694</v>
      </c>
      <c r="D2022" s="4" t="s">
        <v>37</v>
      </c>
      <c r="E2022" s="8">
        <v>39.0</v>
      </c>
      <c r="F2022" s="4" t="str">
        <f t="shared" si="1"/>
        <v>500 &amp; Below</v>
      </c>
    </row>
    <row r="2023" ht="15.75" customHeight="1">
      <c r="A2023" s="4" t="s">
        <v>55</v>
      </c>
      <c r="B2023" s="7">
        <v>45996.0</v>
      </c>
      <c r="C2023" s="4" t="s">
        <v>694</v>
      </c>
      <c r="D2023" s="4" t="s">
        <v>1497</v>
      </c>
      <c r="E2023" s="8">
        <v>570.0</v>
      </c>
      <c r="F2023" s="4" t="str">
        <f t="shared" si="1"/>
        <v>Above 500</v>
      </c>
    </row>
    <row r="2024" ht="15.75" customHeight="1">
      <c r="A2024" s="4" t="s">
        <v>55</v>
      </c>
      <c r="B2024" s="7">
        <v>45996.0</v>
      </c>
      <c r="C2024" s="4" t="s">
        <v>694</v>
      </c>
      <c r="D2024" s="4" t="s">
        <v>79</v>
      </c>
      <c r="E2024" s="8">
        <v>35.0</v>
      </c>
      <c r="F2024" s="4" t="str">
        <f t="shared" si="1"/>
        <v>500 &amp; Below</v>
      </c>
    </row>
    <row r="2025" ht="15.75" customHeight="1">
      <c r="A2025" s="4" t="s">
        <v>55</v>
      </c>
      <c r="B2025" s="7">
        <v>45997.0</v>
      </c>
      <c r="C2025" s="4" t="s">
        <v>694</v>
      </c>
      <c r="D2025" s="4" t="s">
        <v>3285</v>
      </c>
      <c r="E2025" s="8">
        <v>120.0</v>
      </c>
      <c r="F2025" s="4" t="str">
        <f t="shared" si="1"/>
        <v>500 &amp; Below</v>
      </c>
    </row>
    <row r="2026" ht="15.75" customHeight="1">
      <c r="A2026" s="4" t="s">
        <v>55</v>
      </c>
      <c r="B2026" s="7">
        <v>45997.0</v>
      </c>
      <c r="C2026" s="4" t="s">
        <v>694</v>
      </c>
      <c r="D2026" s="4" t="s">
        <v>1597</v>
      </c>
      <c r="E2026" s="8">
        <v>30.0</v>
      </c>
      <c r="F2026" s="4" t="str">
        <f t="shared" si="1"/>
        <v>500 &amp; Below</v>
      </c>
    </row>
    <row r="2027" ht="15.75" customHeight="1">
      <c r="A2027" s="4" t="s">
        <v>55</v>
      </c>
      <c r="B2027" s="7">
        <v>45997.0</v>
      </c>
      <c r="C2027" s="4" t="s">
        <v>694</v>
      </c>
      <c r="D2027" s="4" t="s">
        <v>1506</v>
      </c>
      <c r="E2027" s="8">
        <v>99.0</v>
      </c>
      <c r="F2027" s="4" t="str">
        <f t="shared" si="1"/>
        <v>500 &amp; Below</v>
      </c>
    </row>
    <row r="2028" ht="15.75" customHeight="1">
      <c r="A2028" s="4" t="s">
        <v>55</v>
      </c>
      <c r="B2028" s="7">
        <v>45998.0</v>
      </c>
      <c r="C2028" s="4" t="s">
        <v>694</v>
      </c>
      <c r="D2028" s="4" t="s">
        <v>3251</v>
      </c>
      <c r="E2028" s="8">
        <v>406.0</v>
      </c>
      <c r="F2028" s="4" t="str">
        <f t="shared" si="1"/>
        <v>500 &amp; Below</v>
      </c>
    </row>
    <row r="2029" ht="15.75" customHeight="1">
      <c r="A2029" s="4" t="s">
        <v>55</v>
      </c>
      <c r="B2029" s="7">
        <v>45998.0</v>
      </c>
      <c r="C2029" s="4" t="s">
        <v>694</v>
      </c>
      <c r="D2029" s="4" t="s">
        <v>120</v>
      </c>
      <c r="E2029" s="8">
        <v>10.0</v>
      </c>
      <c r="F2029" s="4" t="str">
        <f t="shared" si="1"/>
        <v>500 &amp; Below</v>
      </c>
    </row>
    <row r="2030" ht="15.75" customHeight="1">
      <c r="A2030" s="4" t="s">
        <v>55</v>
      </c>
      <c r="B2030" s="7">
        <v>45998.0</v>
      </c>
      <c r="C2030" s="4" t="s">
        <v>694</v>
      </c>
      <c r="D2030" s="4" t="s">
        <v>3452</v>
      </c>
      <c r="E2030" s="8">
        <v>200.0</v>
      </c>
      <c r="F2030" s="4" t="str">
        <f t="shared" si="1"/>
        <v>500 &amp; Below</v>
      </c>
    </row>
    <row r="2031" ht="15.75" customHeight="1">
      <c r="A2031" s="4" t="s">
        <v>55</v>
      </c>
      <c r="B2031" s="7">
        <v>45998.0</v>
      </c>
      <c r="C2031" s="4" t="s">
        <v>694</v>
      </c>
      <c r="D2031" s="4" t="s">
        <v>112</v>
      </c>
      <c r="E2031" s="8">
        <v>10.0</v>
      </c>
      <c r="F2031" s="4" t="str">
        <f t="shared" si="1"/>
        <v>500 &amp; Below</v>
      </c>
    </row>
    <row r="2032" ht="15.75" customHeight="1">
      <c r="A2032" s="4" t="s">
        <v>55</v>
      </c>
      <c r="B2032" s="7">
        <v>45999.0</v>
      </c>
      <c r="C2032" s="4" t="s">
        <v>694</v>
      </c>
      <c r="D2032" s="4" t="s">
        <v>103</v>
      </c>
      <c r="E2032" s="8">
        <v>140.0</v>
      </c>
      <c r="F2032" s="4" t="str">
        <f t="shared" si="1"/>
        <v>500 &amp; Below</v>
      </c>
    </row>
    <row r="2033" ht="15.75" customHeight="1">
      <c r="A2033" s="4" t="s">
        <v>55</v>
      </c>
      <c r="B2033" s="7">
        <v>45999.0</v>
      </c>
      <c r="C2033" s="4" t="s">
        <v>694</v>
      </c>
      <c r="D2033" s="4" t="s">
        <v>3453</v>
      </c>
      <c r="E2033" s="8">
        <v>163.0</v>
      </c>
      <c r="F2033" s="4" t="str">
        <f t="shared" si="1"/>
        <v>500 &amp; Below</v>
      </c>
    </row>
    <row r="2034" ht="15.75" customHeight="1">
      <c r="A2034" s="4" t="s">
        <v>55</v>
      </c>
      <c r="B2034" s="7">
        <v>45999.0</v>
      </c>
      <c r="C2034" s="4" t="s">
        <v>694</v>
      </c>
      <c r="D2034" s="4" t="s">
        <v>48</v>
      </c>
      <c r="E2034" s="8">
        <v>321.0</v>
      </c>
      <c r="F2034" s="4" t="str">
        <f t="shared" si="1"/>
        <v>500 &amp; Below</v>
      </c>
    </row>
    <row r="2035" ht="15.75" customHeight="1">
      <c r="A2035" s="4" t="s">
        <v>55</v>
      </c>
      <c r="B2035" s="7">
        <v>45999.0</v>
      </c>
      <c r="C2035" s="4" t="s">
        <v>694</v>
      </c>
      <c r="D2035" s="4" t="s">
        <v>3454</v>
      </c>
      <c r="E2035" s="8">
        <v>23.0</v>
      </c>
      <c r="F2035" s="4" t="str">
        <f t="shared" si="1"/>
        <v>500 &amp; Below</v>
      </c>
    </row>
    <row r="2036" ht="15.75" customHeight="1">
      <c r="A2036" s="4" t="s">
        <v>55</v>
      </c>
      <c r="B2036" s="7">
        <v>46000.0</v>
      </c>
      <c r="C2036" s="4" t="s">
        <v>694</v>
      </c>
      <c r="D2036" s="4" t="s">
        <v>3251</v>
      </c>
      <c r="E2036" s="8">
        <v>391.0</v>
      </c>
      <c r="F2036" s="4" t="str">
        <f t="shared" si="1"/>
        <v>500 &amp; Below</v>
      </c>
    </row>
    <row r="2037" ht="15.75" customHeight="1">
      <c r="A2037" s="4" t="s">
        <v>55</v>
      </c>
      <c r="B2037" s="7">
        <v>46000.0</v>
      </c>
      <c r="C2037" s="4" t="s">
        <v>694</v>
      </c>
      <c r="D2037" s="4" t="s">
        <v>357</v>
      </c>
      <c r="E2037" s="8">
        <v>64.0</v>
      </c>
      <c r="F2037" s="4" t="str">
        <f t="shared" si="1"/>
        <v>500 &amp; Below</v>
      </c>
    </row>
    <row r="2038" ht="15.75" customHeight="1">
      <c r="A2038" s="4" t="s">
        <v>55</v>
      </c>
      <c r="B2038" s="7">
        <v>46000.0</v>
      </c>
      <c r="C2038" s="4" t="s">
        <v>694</v>
      </c>
      <c r="D2038" s="4" t="s">
        <v>2519</v>
      </c>
      <c r="E2038" s="8">
        <v>200.0</v>
      </c>
      <c r="F2038" s="4" t="str">
        <f t="shared" si="1"/>
        <v>500 &amp; Below</v>
      </c>
    </row>
    <row r="2039" ht="15.75" customHeight="1">
      <c r="A2039" s="4" t="s">
        <v>55</v>
      </c>
      <c r="B2039" s="7">
        <v>46000.0</v>
      </c>
      <c r="C2039" s="4" t="s">
        <v>694</v>
      </c>
      <c r="D2039" s="4" t="s">
        <v>3455</v>
      </c>
      <c r="E2039" s="8">
        <v>201.0</v>
      </c>
      <c r="F2039" s="4" t="str">
        <f t="shared" si="1"/>
        <v>500 &amp; Below</v>
      </c>
    </row>
    <row r="2040" ht="15.75" customHeight="1">
      <c r="A2040" s="4" t="s">
        <v>55</v>
      </c>
      <c r="B2040" s="7">
        <v>46000.0</v>
      </c>
      <c r="C2040" s="4" t="s">
        <v>694</v>
      </c>
      <c r="D2040" s="4" t="s">
        <v>37</v>
      </c>
      <c r="E2040" s="8">
        <v>29.0</v>
      </c>
      <c r="F2040" s="4" t="str">
        <f t="shared" si="1"/>
        <v>500 &amp; Below</v>
      </c>
    </row>
    <row r="2041" ht="15.75" customHeight="1">
      <c r="A2041" s="4" t="s">
        <v>55</v>
      </c>
      <c r="B2041" s="7">
        <v>46000.0</v>
      </c>
      <c r="C2041" s="4" t="s">
        <v>694</v>
      </c>
      <c r="D2041" s="4" t="s">
        <v>3244</v>
      </c>
      <c r="E2041" s="8">
        <v>40.0</v>
      </c>
      <c r="F2041" s="4" t="str">
        <f t="shared" si="1"/>
        <v>500 &amp; Below</v>
      </c>
    </row>
    <row r="2042" ht="15.75" customHeight="1">
      <c r="A2042" s="4" t="s">
        <v>55</v>
      </c>
      <c r="B2042" s="7">
        <v>46000.0</v>
      </c>
      <c r="C2042" s="4" t="s">
        <v>694</v>
      </c>
      <c r="D2042" s="4" t="s">
        <v>3254</v>
      </c>
      <c r="E2042" s="8">
        <v>160.0</v>
      </c>
      <c r="F2042" s="4" t="str">
        <f t="shared" si="1"/>
        <v>500 &amp; Below</v>
      </c>
    </row>
    <row r="2043" ht="15.75" customHeight="1">
      <c r="A2043" s="4" t="s">
        <v>55</v>
      </c>
      <c r="B2043" s="7">
        <v>46000.0</v>
      </c>
      <c r="C2043" s="4" t="s">
        <v>694</v>
      </c>
      <c r="D2043" s="4" t="s">
        <v>1497</v>
      </c>
      <c r="E2043" s="8">
        <v>120.0</v>
      </c>
      <c r="F2043" s="4" t="str">
        <f t="shared" si="1"/>
        <v>500 &amp; Below</v>
      </c>
    </row>
    <row r="2044" ht="15.75" customHeight="1">
      <c r="A2044" s="4" t="s">
        <v>55</v>
      </c>
      <c r="B2044" s="7">
        <v>46000.0</v>
      </c>
      <c r="C2044" s="4" t="s">
        <v>694</v>
      </c>
      <c r="D2044" s="4" t="s">
        <v>124</v>
      </c>
      <c r="E2044" s="8">
        <v>22.0</v>
      </c>
      <c r="F2044" s="4" t="str">
        <f t="shared" si="1"/>
        <v>500 &amp; Below</v>
      </c>
    </row>
    <row r="2045" ht="15.75" customHeight="1">
      <c r="A2045" s="4" t="s">
        <v>55</v>
      </c>
      <c r="B2045" s="7">
        <v>46001.0</v>
      </c>
      <c r="C2045" s="4" t="s">
        <v>694</v>
      </c>
      <c r="D2045" s="4" t="s">
        <v>112</v>
      </c>
      <c r="E2045" s="8">
        <v>20.0</v>
      </c>
      <c r="F2045" s="4" t="str">
        <f t="shared" si="1"/>
        <v>500 &amp; Below</v>
      </c>
    </row>
    <row r="2046" ht="15.75" customHeight="1">
      <c r="A2046" s="4" t="s">
        <v>55</v>
      </c>
      <c r="B2046" s="7">
        <v>46001.0</v>
      </c>
      <c r="C2046" s="4" t="s">
        <v>694</v>
      </c>
      <c r="D2046" s="4" t="s">
        <v>37</v>
      </c>
      <c r="E2046" s="8">
        <v>39.0</v>
      </c>
      <c r="F2046" s="4" t="str">
        <f t="shared" si="1"/>
        <v>500 &amp; Below</v>
      </c>
    </row>
    <row r="2047" ht="15.75" customHeight="1">
      <c r="A2047" s="4" t="s">
        <v>55</v>
      </c>
      <c r="B2047" s="7">
        <v>46001.0</v>
      </c>
      <c r="C2047" s="4" t="s">
        <v>694</v>
      </c>
      <c r="D2047" s="4" t="s">
        <v>2641</v>
      </c>
      <c r="E2047" s="8">
        <v>40.0</v>
      </c>
      <c r="F2047" s="4" t="str">
        <f t="shared" si="1"/>
        <v>500 &amp; Below</v>
      </c>
    </row>
    <row r="2048" ht="15.75" customHeight="1">
      <c r="A2048" s="4" t="s">
        <v>55</v>
      </c>
      <c r="B2048" s="7">
        <v>46001.0</v>
      </c>
      <c r="C2048" s="4" t="s">
        <v>694</v>
      </c>
      <c r="D2048" s="4" t="s">
        <v>41</v>
      </c>
      <c r="E2048" s="8">
        <v>145.0</v>
      </c>
      <c r="F2048" s="4" t="str">
        <f t="shared" si="1"/>
        <v>500 &amp; Below</v>
      </c>
    </row>
    <row r="2049" ht="15.75" customHeight="1">
      <c r="A2049" s="4" t="s">
        <v>55</v>
      </c>
      <c r="B2049" s="7">
        <v>46001.0</v>
      </c>
      <c r="C2049" s="4" t="s">
        <v>694</v>
      </c>
      <c r="D2049" s="4" t="s">
        <v>36</v>
      </c>
      <c r="E2049" s="8">
        <v>1340.0</v>
      </c>
      <c r="F2049" s="4" t="str">
        <f t="shared" si="1"/>
        <v>Above 500</v>
      </c>
    </row>
    <row r="2050" ht="15.75" customHeight="1">
      <c r="A2050" s="4" t="s">
        <v>55</v>
      </c>
      <c r="B2050" s="7">
        <v>46001.0</v>
      </c>
      <c r="C2050" s="4" t="s">
        <v>694</v>
      </c>
      <c r="D2050" s="4" t="s">
        <v>36</v>
      </c>
      <c r="E2050" s="8">
        <v>870.0</v>
      </c>
      <c r="F2050" s="4" t="str">
        <f t="shared" si="1"/>
        <v>Above 500</v>
      </c>
    </row>
    <row r="2051" ht="15.75" customHeight="1">
      <c r="A2051" s="4" t="s">
        <v>55</v>
      </c>
      <c r="B2051" s="7">
        <v>46002.0</v>
      </c>
      <c r="C2051" s="4" t="s">
        <v>694</v>
      </c>
      <c r="D2051" s="4" t="s">
        <v>124</v>
      </c>
      <c r="E2051" s="8">
        <v>489.0</v>
      </c>
      <c r="F2051" s="4" t="str">
        <f t="shared" si="1"/>
        <v>500 &amp; Below</v>
      </c>
    </row>
    <row r="2052" ht="15.75" customHeight="1">
      <c r="A2052" s="4" t="s">
        <v>55</v>
      </c>
      <c r="B2052" s="7">
        <v>46002.0</v>
      </c>
      <c r="C2052" s="4" t="s">
        <v>694</v>
      </c>
      <c r="D2052" s="4" t="s">
        <v>3290</v>
      </c>
      <c r="E2052" s="8">
        <v>200.0</v>
      </c>
      <c r="F2052" s="4" t="str">
        <f t="shared" si="1"/>
        <v>500 &amp; Below</v>
      </c>
    </row>
    <row r="2053" ht="15.75" customHeight="1">
      <c r="A2053" s="4" t="s">
        <v>55</v>
      </c>
      <c r="B2053" s="7">
        <v>46002.0</v>
      </c>
      <c r="C2053" s="4" t="s">
        <v>694</v>
      </c>
      <c r="D2053" s="4" t="s">
        <v>3456</v>
      </c>
      <c r="E2053" s="8">
        <v>195.0</v>
      </c>
      <c r="F2053" s="4" t="str">
        <f t="shared" si="1"/>
        <v>500 &amp; Below</v>
      </c>
    </row>
    <row r="2054" ht="15.75" customHeight="1">
      <c r="A2054" s="4" t="s">
        <v>55</v>
      </c>
      <c r="B2054" s="7">
        <v>46002.0</v>
      </c>
      <c r="C2054" s="4" t="s">
        <v>694</v>
      </c>
      <c r="D2054" s="4" t="s">
        <v>3456</v>
      </c>
      <c r="E2054" s="8">
        <v>35.0</v>
      </c>
      <c r="F2054" s="4" t="str">
        <f t="shared" si="1"/>
        <v>500 &amp; Below</v>
      </c>
    </row>
    <row r="2055" ht="15.75" customHeight="1">
      <c r="A2055" s="4" t="s">
        <v>55</v>
      </c>
      <c r="B2055" s="7">
        <v>46002.0</v>
      </c>
      <c r="C2055" s="4" t="s">
        <v>694</v>
      </c>
      <c r="D2055" s="4" t="s">
        <v>52</v>
      </c>
      <c r="E2055" s="8">
        <v>611.0</v>
      </c>
      <c r="F2055" s="4" t="str">
        <f t="shared" si="1"/>
        <v>Above 500</v>
      </c>
    </row>
    <row r="2056" ht="15.75" customHeight="1">
      <c r="A2056" s="4" t="s">
        <v>55</v>
      </c>
      <c r="B2056" s="7">
        <v>46002.0</v>
      </c>
      <c r="C2056" s="4" t="s">
        <v>694</v>
      </c>
      <c r="D2056" s="4" t="s">
        <v>3268</v>
      </c>
      <c r="E2056" s="8">
        <v>283.15</v>
      </c>
      <c r="F2056" s="4" t="str">
        <f t="shared" si="1"/>
        <v>500 &amp; Below</v>
      </c>
    </row>
    <row r="2057" ht="15.75" customHeight="1">
      <c r="A2057" s="4" t="s">
        <v>55</v>
      </c>
      <c r="B2057" s="7">
        <v>46002.0</v>
      </c>
      <c r="C2057" s="4" t="s">
        <v>694</v>
      </c>
      <c r="D2057" s="4" t="s">
        <v>2611</v>
      </c>
      <c r="E2057" s="8">
        <v>50.0</v>
      </c>
      <c r="F2057" s="4" t="str">
        <f t="shared" si="1"/>
        <v>500 &amp; Below</v>
      </c>
    </row>
    <row r="2058" ht="15.75" customHeight="1">
      <c r="A2058" s="4" t="s">
        <v>55</v>
      </c>
      <c r="B2058" s="7">
        <v>46003.0</v>
      </c>
      <c r="C2058" s="4" t="s">
        <v>694</v>
      </c>
      <c r="D2058" s="4" t="s">
        <v>25</v>
      </c>
      <c r="E2058" s="8">
        <v>26.5</v>
      </c>
      <c r="F2058" s="4" t="str">
        <f t="shared" si="1"/>
        <v>500 &amp; Below</v>
      </c>
    </row>
    <row r="2059" ht="15.75" customHeight="1">
      <c r="A2059" s="4" t="s">
        <v>55</v>
      </c>
      <c r="B2059" s="7">
        <v>46003.0</v>
      </c>
      <c r="C2059" s="4" t="s">
        <v>694</v>
      </c>
      <c r="D2059" s="4" t="s">
        <v>3457</v>
      </c>
      <c r="E2059" s="8">
        <v>20.0</v>
      </c>
      <c r="F2059" s="4" t="str">
        <f t="shared" si="1"/>
        <v>500 &amp; Below</v>
      </c>
    </row>
    <row r="2060" ht="15.75" customHeight="1">
      <c r="A2060" s="4" t="s">
        <v>55</v>
      </c>
      <c r="B2060" s="7">
        <v>46003.0</v>
      </c>
      <c r="C2060" s="4" t="s">
        <v>694</v>
      </c>
      <c r="D2060" s="4" t="s">
        <v>3458</v>
      </c>
      <c r="E2060" s="8">
        <v>690.0</v>
      </c>
      <c r="F2060" s="4" t="str">
        <f t="shared" si="1"/>
        <v>Above 500</v>
      </c>
    </row>
    <row r="2061" ht="15.75" customHeight="1">
      <c r="A2061" s="4" t="s">
        <v>55</v>
      </c>
      <c r="B2061" s="7">
        <v>46004.0</v>
      </c>
      <c r="C2061" s="4" t="s">
        <v>694</v>
      </c>
      <c r="D2061" s="4" t="s">
        <v>36</v>
      </c>
      <c r="E2061" s="8">
        <v>2373.0</v>
      </c>
      <c r="F2061" s="4" t="str">
        <f t="shared" si="1"/>
        <v>Above 500</v>
      </c>
    </row>
    <row r="2062" ht="15.75" customHeight="1">
      <c r="A2062" s="4" t="s">
        <v>55</v>
      </c>
      <c r="B2062" s="7">
        <v>46004.0</v>
      </c>
      <c r="C2062" s="4" t="s">
        <v>694</v>
      </c>
      <c r="D2062" s="4" t="s">
        <v>124</v>
      </c>
      <c r="E2062" s="8">
        <v>22.0</v>
      </c>
      <c r="F2062" s="4" t="str">
        <f t="shared" si="1"/>
        <v>500 &amp; Below</v>
      </c>
    </row>
    <row r="2063" ht="15.75" customHeight="1">
      <c r="A2063" s="4" t="s">
        <v>55</v>
      </c>
      <c r="B2063" s="7">
        <v>46005.0</v>
      </c>
      <c r="C2063" s="4" t="s">
        <v>694</v>
      </c>
      <c r="D2063" s="4" t="s">
        <v>77</v>
      </c>
      <c r="E2063" s="8">
        <v>169.06</v>
      </c>
      <c r="F2063" s="4" t="str">
        <f t="shared" si="1"/>
        <v>500 &amp; Below</v>
      </c>
    </row>
    <row r="2064" ht="15.75" customHeight="1">
      <c r="A2064" s="4" t="s">
        <v>55</v>
      </c>
      <c r="B2064" s="7">
        <v>46005.0</v>
      </c>
      <c r="C2064" s="4" t="s">
        <v>694</v>
      </c>
      <c r="D2064" s="4" t="s">
        <v>3459</v>
      </c>
      <c r="E2064" s="8">
        <v>339.5</v>
      </c>
      <c r="F2064" s="4" t="str">
        <f t="shared" si="1"/>
        <v>500 &amp; Below</v>
      </c>
    </row>
    <row r="2065" ht="15.75" customHeight="1">
      <c r="A2065" s="4" t="s">
        <v>55</v>
      </c>
      <c r="B2065" s="7">
        <v>46005.0</v>
      </c>
      <c r="C2065" s="4" t="s">
        <v>694</v>
      </c>
      <c r="D2065" s="4" t="s">
        <v>39</v>
      </c>
      <c r="E2065" s="8">
        <v>7.0</v>
      </c>
      <c r="F2065" s="4" t="str">
        <f t="shared" si="1"/>
        <v>500 &amp; Below</v>
      </c>
    </row>
    <row r="2066" ht="15.75" customHeight="1">
      <c r="A2066" s="4" t="s">
        <v>55</v>
      </c>
      <c r="B2066" s="7">
        <v>46005.0</v>
      </c>
      <c r="C2066" s="4" t="s">
        <v>694</v>
      </c>
      <c r="D2066" s="4" t="s">
        <v>3218</v>
      </c>
      <c r="E2066" s="8">
        <v>315.0</v>
      </c>
      <c r="F2066" s="4" t="str">
        <f t="shared" si="1"/>
        <v>500 &amp; Below</v>
      </c>
    </row>
    <row r="2067" ht="15.75" customHeight="1">
      <c r="A2067" s="4" t="s">
        <v>55</v>
      </c>
      <c r="B2067" s="7">
        <v>46005.0</v>
      </c>
      <c r="C2067" s="4" t="s">
        <v>694</v>
      </c>
      <c r="D2067" s="4" t="s">
        <v>46</v>
      </c>
      <c r="E2067" s="8">
        <v>630.0</v>
      </c>
      <c r="F2067" s="4" t="str">
        <f t="shared" si="1"/>
        <v>Above 500</v>
      </c>
    </row>
    <row r="2068" ht="15.75" customHeight="1">
      <c r="A2068" s="4" t="s">
        <v>55</v>
      </c>
      <c r="B2068" s="7">
        <v>46005.0</v>
      </c>
      <c r="C2068" s="4" t="s">
        <v>694</v>
      </c>
      <c r="D2068" s="4" t="s">
        <v>37</v>
      </c>
      <c r="E2068" s="8">
        <v>29.0</v>
      </c>
      <c r="F2068" s="4" t="str">
        <f t="shared" si="1"/>
        <v>500 &amp; Below</v>
      </c>
    </row>
    <row r="2069" ht="15.75" customHeight="1">
      <c r="A2069" s="4" t="s">
        <v>55</v>
      </c>
      <c r="B2069" s="7">
        <v>46006.0</v>
      </c>
      <c r="C2069" s="4" t="s">
        <v>694</v>
      </c>
      <c r="D2069" s="4" t="s">
        <v>948</v>
      </c>
      <c r="E2069" s="8">
        <v>10000.0</v>
      </c>
      <c r="F2069" s="4" t="str">
        <f t="shared" si="1"/>
        <v>Above 500</v>
      </c>
    </row>
    <row r="2070" ht="15.75" customHeight="1">
      <c r="A2070" s="4" t="s">
        <v>55</v>
      </c>
      <c r="B2070" s="7">
        <v>46007.0</v>
      </c>
      <c r="C2070" s="4" t="s">
        <v>694</v>
      </c>
      <c r="D2070" s="4" t="s">
        <v>75</v>
      </c>
      <c r="E2070" s="8">
        <v>20.0</v>
      </c>
      <c r="F2070" s="4" t="str">
        <f t="shared" si="1"/>
        <v>500 &amp; Below</v>
      </c>
    </row>
    <row r="2071" ht="15.75" customHeight="1">
      <c r="A2071" s="4" t="s">
        <v>55</v>
      </c>
      <c r="B2071" s="7">
        <v>46007.0</v>
      </c>
      <c r="C2071" s="4" t="s">
        <v>694</v>
      </c>
      <c r="D2071" s="4" t="s">
        <v>39</v>
      </c>
      <c r="E2071" s="8">
        <v>10.0</v>
      </c>
      <c r="F2071" s="4" t="str">
        <f t="shared" si="1"/>
        <v>500 &amp; Below</v>
      </c>
    </row>
    <row r="2072" ht="15.75" customHeight="1">
      <c r="A2072" s="4" t="s">
        <v>55</v>
      </c>
      <c r="B2072" s="7">
        <v>46007.0</v>
      </c>
      <c r="C2072" s="4" t="s">
        <v>694</v>
      </c>
      <c r="D2072" s="4" t="s">
        <v>3460</v>
      </c>
      <c r="E2072" s="8">
        <v>20.0</v>
      </c>
      <c r="F2072" s="4" t="str">
        <f t="shared" si="1"/>
        <v>500 &amp; Below</v>
      </c>
    </row>
    <row r="2073" ht="15.75" customHeight="1">
      <c r="A2073" s="4" t="s">
        <v>55</v>
      </c>
      <c r="B2073" s="7">
        <v>46008.0</v>
      </c>
      <c r="C2073" s="4" t="s">
        <v>694</v>
      </c>
      <c r="D2073" s="4" t="s">
        <v>3254</v>
      </c>
      <c r="E2073" s="8">
        <v>1030.0</v>
      </c>
      <c r="F2073" s="4" t="str">
        <f t="shared" si="1"/>
        <v>Above 500</v>
      </c>
    </row>
    <row r="2074" ht="15.75" customHeight="1">
      <c r="A2074" s="4" t="s">
        <v>55</v>
      </c>
      <c r="B2074" s="7">
        <v>46008.0</v>
      </c>
      <c r="C2074" s="4" t="s">
        <v>694</v>
      </c>
      <c r="D2074" s="4" t="s">
        <v>3461</v>
      </c>
      <c r="E2074" s="8">
        <v>599.0</v>
      </c>
      <c r="F2074" s="4" t="str">
        <f t="shared" si="1"/>
        <v>Above 500</v>
      </c>
    </row>
    <row r="2075" ht="15.75" customHeight="1">
      <c r="A2075" s="4" t="s">
        <v>55</v>
      </c>
      <c r="B2075" s="7">
        <v>46009.0</v>
      </c>
      <c r="C2075" s="4" t="s">
        <v>694</v>
      </c>
      <c r="D2075" s="4" t="s">
        <v>108</v>
      </c>
      <c r="E2075" s="8">
        <v>20.0</v>
      </c>
      <c r="F2075" s="4" t="str">
        <f t="shared" si="1"/>
        <v>500 &amp; Below</v>
      </c>
    </row>
    <row r="2076" ht="15.75" customHeight="1">
      <c r="A2076" s="4" t="s">
        <v>55</v>
      </c>
      <c r="B2076" s="7">
        <v>46009.0</v>
      </c>
      <c r="C2076" s="4" t="s">
        <v>694</v>
      </c>
      <c r="D2076" s="4" t="s">
        <v>1392</v>
      </c>
      <c r="E2076" s="8">
        <v>110.0</v>
      </c>
      <c r="F2076" s="4" t="str">
        <f t="shared" si="1"/>
        <v>500 &amp; Below</v>
      </c>
    </row>
    <row r="2077" ht="15.75" customHeight="1">
      <c r="A2077" s="4" t="s">
        <v>55</v>
      </c>
      <c r="B2077" s="7">
        <v>46011.0</v>
      </c>
      <c r="C2077" s="4" t="s">
        <v>694</v>
      </c>
      <c r="D2077" s="4" t="s">
        <v>3297</v>
      </c>
      <c r="E2077" s="8">
        <v>1070.0</v>
      </c>
      <c r="F2077" s="4" t="str">
        <f t="shared" si="1"/>
        <v>Above 500</v>
      </c>
    </row>
    <row r="2078" ht="15.75" customHeight="1">
      <c r="A2078" s="4" t="s">
        <v>55</v>
      </c>
      <c r="B2078" s="7">
        <v>46011.0</v>
      </c>
      <c r="C2078" s="4" t="s">
        <v>694</v>
      </c>
      <c r="D2078" s="4" t="s">
        <v>37</v>
      </c>
      <c r="E2078" s="8">
        <v>29.0</v>
      </c>
      <c r="F2078" s="4" t="str">
        <f t="shared" si="1"/>
        <v>500 &amp; Below</v>
      </c>
    </row>
    <row r="2079" ht="15.75" customHeight="1">
      <c r="A2079" s="4" t="s">
        <v>55</v>
      </c>
      <c r="B2079" s="7">
        <v>46011.0</v>
      </c>
      <c r="C2079" s="4" t="s">
        <v>694</v>
      </c>
      <c r="D2079" s="4" t="s">
        <v>39</v>
      </c>
      <c r="E2079" s="8">
        <v>20.0</v>
      </c>
      <c r="F2079" s="4" t="str">
        <f t="shared" si="1"/>
        <v>500 &amp; Below</v>
      </c>
    </row>
    <row r="2080" ht="15.75" customHeight="1">
      <c r="A2080" s="4" t="s">
        <v>55</v>
      </c>
      <c r="B2080" s="7">
        <v>46012.0</v>
      </c>
      <c r="C2080" s="4" t="s">
        <v>694</v>
      </c>
      <c r="D2080" s="4" t="s">
        <v>124</v>
      </c>
      <c r="E2080" s="8">
        <v>299.0</v>
      </c>
      <c r="F2080" s="4" t="str">
        <f t="shared" si="1"/>
        <v>500 &amp; Below</v>
      </c>
    </row>
    <row r="2081" ht="15.75" customHeight="1">
      <c r="A2081" s="4" t="s">
        <v>55</v>
      </c>
      <c r="B2081" s="7">
        <v>46012.0</v>
      </c>
      <c r="C2081" s="4" t="s">
        <v>694</v>
      </c>
      <c r="D2081" s="4" t="s">
        <v>3285</v>
      </c>
      <c r="E2081" s="8">
        <v>90.0</v>
      </c>
      <c r="F2081" s="4" t="str">
        <f t="shared" si="1"/>
        <v>500 &amp; Below</v>
      </c>
    </row>
    <row r="2082" ht="15.75" customHeight="1">
      <c r="A2082" s="4" t="s">
        <v>55</v>
      </c>
      <c r="B2082" s="7">
        <v>46013.0</v>
      </c>
      <c r="C2082" s="4" t="s">
        <v>694</v>
      </c>
      <c r="D2082" s="4" t="s">
        <v>3274</v>
      </c>
      <c r="E2082" s="8">
        <v>3000.0</v>
      </c>
      <c r="F2082" s="4" t="str">
        <f t="shared" si="1"/>
        <v>Above 500</v>
      </c>
    </row>
    <row r="2083" ht="15.75" customHeight="1">
      <c r="A2083" s="4" t="s">
        <v>55</v>
      </c>
      <c r="B2083" s="7">
        <v>46013.0</v>
      </c>
      <c r="C2083" s="4" t="s">
        <v>694</v>
      </c>
      <c r="D2083" s="4" t="s">
        <v>3462</v>
      </c>
      <c r="E2083" s="8">
        <v>50.0</v>
      </c>
      <c r="F2083" s="4" t="str">
        <f t="shared" si="1"/>
        <v>500 &amp; Below</v>
      </c>
    </row>
    <row r="2084" ht="15.75" customHeight="1">
      <c r="A2084" s="4" t="s">
        <v>55</v>
      </c>
      <c r="B2084" s="7">
        <v>46014.0</v>
      </c>
      <c r="C2084" s="4" t="s">
        <v>694</v>
      </c>
      <c r="D2084" s="4" t="s">
        <v>26</v>
      </c>
      <c r="E2084" s="8">
        <v>220.0</v>
      </c>
      <c r="F2084" s="4" t="str">
        <f t="shared" si="1"/>
        <v>500 &amp; Below</v>
      </c>
    </row>
    <row r="2085" ht="15.75" customHeight="1">
      <c r="A2085" s="4" t="s">
        <v>55</v>
      </c>
      <c r="B2085" s="7">
        <v>46014.0</v>
      </c>
      <c r="C2085" s="4" t="s">
        <v>694</v>
      </c>
      <c r="D2085" s="4" t="s">
        <v>3218</v>
      </c>
      <c r="E2085" s="8">
        <v>289.0</v>
      </c>
      <c r="F2085" s="4" t="str">
        <f t="shared" si="1"/>
        <v>500 &amp; Below</v>
      </c>
    </row>
    <row r="2086" ht="15.75" customHeight="1">
      <c r="A2086" s="4" t="s">
        <v>55</v>
      </c>
      <c r="B2086" s="7">
        <v>46014.0</v>
      </c>
      <c r="C2086" s="4" t="s">
        <v>694</v>
      </c>
      <c r="D2086" s="4" t="s">
        <v>37</v>
      </c>
      <c r="E2086" s="8">
        <v>29.0</v>
      </c>
      <c r="F2086" s="4" t="str">
        <f t="shared" si="1"/>
        <v>500 &amp; Below</v>
      </c>
    </row>
    <row r="2087" ht="15.75" customHeight="1">
      <c r="A2087" s="4" t="s">
        <v>55</v>
      </c>
      <c r="B2087" s="7">
        <v>46015.0</v>
      </c>
      <c r="C2087" s="4" t="s">
        <v>694</v>
      </c>
      <c r="D2087" s="4" t="s">
        <v>124</v>
      </c>
      <c r="E2087" s="8">
        <v>859.0</v>
      </c>
      <c r="F2087" s="4" t="str">
        <f t="shared" si="1"/>
        <v>Above 500</v>
      </c>
    </row>
    <row r="2088" ht="15.75" customHeight="1">
      <c r="A2088" s="4" t="s">
        <v>55</v>
      </c>
      <c r="B2088" s="7">
        <v>46015.0</v>
      </c>
      <c r="C2088" s="4" t="s">
        <v>694</v>
      </c>
      <c r="D2088" s="4" t="s">
        <v>41</v>
      </c>
      <c r="E2088" s="8">
        <v>194.0</v>
      </c>
      <c r="F2088" s="4" t="str">
        <f t="shared" si="1"/>
        <v>500 &amp; Below</v>
      </c>
    </row>
    <row r="2089" ht="15.75" customHeight="1">
      <c r="A2089" s="4" t="s">
        <v>55</v>
      </c>
      <c r="B2089" s="7">
        <v>46015.0</v>
      </c>
      <c r="C2089" s="4" t="s">
        <v>694</v>
      </c>
      <c r="D2089" s="4" t="s">
        <v>3275</v>
      </c>
      <c r="E2089" s="8">
        <v>13.0</v>
      </c>
      <c r="F2089" s="4" t="str">
        <f t="shared" si="1"/>
        <v>500 &amp; Below</v>
      </c>
    </row>
    <row r="2090" ht="15.75" customHeight="1">
      <c r="A2090" s="4" t="s">
        <v>55</v>
      </c>
      <c r="B2090" s="7">
        <v>46015.0</v>
      </c>
      <c r="C2090" s="4" t="s">
        <v>694</v>
      </c>
      <c r="D2090" s="4" t="s">
        <v>3434</v>
      </c>
      <c r="E2090" s="8">
        <v>9.0</v>
      </c>
      <c r="F2090" s="4" t="str">
        <f t="shared" si="1"/>
        <v>500 &amp; Below</v>
      </c>
    </row>
    <row r="2091" ht="15.75" customHeight="1">
      <c r="A2091" s="4" t="s">
        <v>55</v>
      </c>
      <c r="B2091" s="7">
        <v>46015.0</v>
      </c>
      <c r="C2091" s="4" t="s">
        <v>694</v>
      </c>
      <c r="D2091" s="4" t="s">
        <v>3295</v>
      </c>
      <c r="E2091" s="8">
        <v>1140.0</v>
      </c>
      <c r="F2091" s="4" t="str">
        <f t="shared" si="1"/>
        <v>Above 500</v>
      </c>
    </row>
    <row r="2092" ht="15.75" customHeight="1">
      <c r="A2092" s="4" t="s">
        <v>55</v>
      </c>
      <c r="B2092" s="7">
        <v>46016.0</v>
      </c>
      <c r="C2092" s="4" t="s">
        <v>694</v>
      </c>
      <c r="D2092" s="4" t="s">
        <v>24</v>
      </c>
      <c r="E2092" s="8">
        <v>40.0</v>
      </c>
      <c r="F2092" s="4" t="str">
        <f t="shared" si="1"/>
        <v>500 &amp; Below</v>
      </c>
    </row>
    <row r="2093" ht="15.75" customHeight="1">
      <c r="A2093" s="4" t="s">
        <v>55</v>
      </c>
      <c r="B2093" s="7">
        <v>46017.0</v>
      </c>
      <c r="C2093" s="4" t="s">
        <v>694</v>
      </c>
      <c r="D2093" s="4" t="s">
        <v>3290</v>
      </c>
      <c r="E2093" s="8">
        <v>350.0</v>
      </c>
      <c r="F2093" s="4" t="str">
        <f t="shared" si="1"/>
        <v>500 &amp; Below</v>
      </c>
    </row>
    <row r="2094" ht="15.75" customHeight="1">
      <c r="A2094" s="4" t="s">
        <v>55</v>
      </c>
      <c r="B2094" s="7">
        <v>46017.0</v>
      </c>
      <c r="C2094" s="4" t="s">
        <v>694</v>
      </c>
      <c r="D2094" s="4" t="s">
        <v>2357</v>
      </c>
      <c r="E2094" s="8">
        <v>305.0</v>
      </c>
      <c r="F2094" s="4" t="str">
        <f t="shared" si="1"/>
        <v>500 &amp; Below</v>
      </c>
    </row>
    <row r="2095" ht="15.75" customHeight="1">
      <c r="A2095" s="4" t="s">
        <v>55</v>
      </c>
      <c r="B2095" s="7">
        <v>46017.0</v>
      </c>
      <c r="C2095" s="4" t="s">
        <v>694</v>
      </c>
      <c r="D2095" s="4" t="s">
        <v>3218</v>
      </c>
      <c r="E2095" s="8">
        <v>192.0</v>
      </c>
      <c r="F2095" s="4" t="str">
        <f t="shared" si="1"/>
        <v>500 &amp; Below</v>
      </c>
    </row>
    <row r="2096" ht="15.75" customHeight="1">
      <c r="A2096" s="4" t="s">
        <v>55</v>
      </c>
      <c r="B2096" s="7">
        <v>46017.0</v>
      </c>
      <c r="C2096" s="4" t="s">
        <v>694</v>
      </c>
      <c r="D2096" s="4" t="s">
        <v>98</v>
      </c>
      <c r="E2096" s="8">
        <v>40.0</v>
      </c>
      <c r="F2096" s="4" t="str">
        <f t="shared" si="1"/>
        <v>500 &amp; Below</v>
      </c>
    </row>
    <row r="2097" ht="15.75" customHeight="1">
      <c r="A2097" s="4" t="s">
        <v>55</v>
      </c>
      <c r="B2097" s="7">
        <v>46017.0</v>
      </c>
      <c r="C2097" s="4" t="s">
        <v>694</v>
      </c>
      <c r="D2097" s="4" t="s">
        <v>3463</v>
      </c>
      <c r="E2097" s="8">
        <v>1355.0</v>
      </c>
      <c r="F2097" s="4" t="str">
        <f t="shared" si="1"/>
        <v>Above 500</v>
      </c>
    </row>
    <row r="2098" ht="15.75" customHeight="1">
      <c r="A2098" s="4" t="s">
        <v>55</v>
      </c>
      <c r="B2098" s="7">
        <v>46017.0</v>
      </c>
      <c r="C2098" s="4" t="s">
        <v>694</v>
      </c>
      <c r="D2098" s="4" t="s">
        <v>3295</v>
      </c>
      <c r="E2098" s="8">
        <v>210.0</v>
      </c>
      <c r="F2098" s="4" t="str">
        <f t="shared" si="1"/>
        <v>500 &amp; Below</v>
      </c>
    </row>
    <row r="2099" ht="15.75" customHeight="1">
      <c r="A2099" s="4" t="s">
        <v>55</v>
      </c>
      <c r="B2099" s="7">
        <v>46018.0</v>
      </c>
      <c r="C2099" s="4" t="s">
        <v>694</v>
      </c>
      <c r="D2099" s="4" t="s">
        <v>3274</v>
      </c>
      <c r="E2099" s="8">
        <v>7000.0</v>
      </c>
      <c r="F2099" s="4" t="str">
        <f t="shared" si="1"/>
        <v>Above 500</v>
      </c>
    </row>
    <row r="2100" ht="15.75" customHeight="1">
      <c r="A2100" s="4" t="s">
        <v>55</v>
      </c>
      <c r="B2100" s="7">
        <v>46019.0</v>
      </c>
      <c r="C2100" s="4" t="s">
        <v>694</v>
      </c>
      <c r="D2100" s="4" t="s">
        <v>1988</v>
      </c>
      <c r="E2100" s="8">
        <v>400.0</v>
      </c>
      <c r="F2100" s="4" t="str">
        <f t="shared" si="1"/>
        <v>500 &amp; Below</v>
      </c>
    </row>
    <row r="2101" ht="15.75" customHeight="1">
      <c r="A2101" s="4" t="s">
        <v>55</v>
      </c>
      <c r="B2101" s="7">
        <v>46019.0</v>
      </c>
      <c r="C2101" s="4" t="s">
        <v>694</v>
      </c>
      <c r="D2101" s="4" t="s">
        <v>3279</v>
      </c>
      <c r="E2101" s="8">
        <v>15.0</v>
      </c>
      <c r="F2101" s="4" t="str">
        <f t="shared" si="1"/>
        <v>500 &amp; Below</v>
      </c>
    </row>
    <row r="2102" ht="15.75" customHeight="1">
      <c r="A2102" s="4" t="s">
        <v>55</v>
      </c>
      <c r="B2102" s="7">
        <v>46019.0</v>
      </c>
      <c r="C2102" s="4" t="s">
        <v>694</v>
      </c>
      <c r="D2102" s="4" t="s">
        <v>3259</v>
      </c>
      <c r="E2102" s="8">
        <v>30.0</v>
      </c>
      <c r="F2102" s="4" t="str">
        <f t="shared" si="1"/>
        <v>500 &amp; Below</v>
      </c>
    </row>
    <row r="2103" ht="15.75" customHeight="1">
      <c r="A2103" s="4" t="s">
        <v>55</v>
      </c>
      <c r="B2103" s="7">
        <v>46020.0</v>
      </c>
      <c r="C2103" s="4" t="s">
        <v>694</v>
      </c>
      <c r="D2103" s="4" t="s">
        <v>3454</v>
      </c>
      <c r="E2103" s="8">
        <v>83.0</v>
      </c>
      <c r="F2103" s="4" t="str">
        <f t="shared" si="1"/>
        <v>500 &amp; Below</v>
      </c>
    </row>
    <row r="2104" ht="15.75" customHeight="1">
      <c r="A2104" s="4" t="s">
        <v>55</v>
      </c>
      <c r="B2104" s="7">
        <v>46020.0</v>
      </c>
      <c r="C2104" s="4" t="s">
        <v>694</v>
      </c>
      <c r="D2104" s="4" t="s">
        <v>3275</v>
      </c>
      <c r="E2104" s="8">
        <v>460.0</v>
      </c>
      <c r="F2104" s="4" t="str">
        <f t="shared" si="1"/>
        <v>500 &amp; Below</v>
      </c>
    </row>
    <row r="2105" ht="15.75" customHeight="1">
      <c r="A2105" s="4" t="s">
        <v>55</v>
      </c>
      <c r="B2105" s="7">
        <v>46020.0</v>
      </c>
      <c r="C2105" s="4" t="s">
        <v>694</v>
      </c>
      <c r="D2105" s="4" t="s">
        <v>826</v>
      </c>
      <c r="E2105" s="8">
        <v>165.0</v>
      </c>
      <c r="F2105" s="4" t="str">
        <f t="shared" si="1"/>
        <v>500 &amp; Below</v>
      </c>
    </row>
    <row r="2106" ht="15.75" customHeight="1">
      <c r="A2106" s="4" t="s">
        <v>55</v>
      </c>
      <c r="B2106" s="7">
        <v>46021.0</v>
      </c>
      <c r="C2106" s="4" t="s">
        <v>694</v>
      </c>
      <c r="D2106" s="4" t="s">
        <v>72</v>
      </c>
      <c r="E2106" s="8">
        <v>480.0</v>
      </c>
      <c r="F2106" s="4" t="str">
        <f t="shared" si="1"/>
        <v>500 &amp; Below</v>
      </c>
    </row>
    <row r="2107" ht="15.75" customHeight="1">
      <c r="A2107" s="4" t="s">
        <v>55</v>
      </c>
      <c r="B2107" s="7">
        <v>46021.0</v>
      </c>
      <c r="C2107" s="4" t="s">
        <v>694</v>
      </c>
      <c r="D2107" s="4" t="s">
        <v>948</v>
      </c>
      <c r="E2107" s="8">
        <v>410.0</v>
      </c>
      <c r="F2107" s="4" t="str">
        <f t="shared" si="1"/>
        <v>500 &amp; Below</v>
      </c>
    </row>
    <row r="2108" ht="15.75" customHeight="1">
      <c r="A2108" s="4" t="s">
        <v>55</v>
      </c>
      <c r="B2108" s="7">
        <v>46021.0</v>
      </c>
      <c r="C2108" s="4" t="s">
        <v>694</v>
      </c>
      <c r="D2108" s="4" t="s">
        <v>2357</v>
      </c>
      <c r="E2108" s="8">
        <v>305.0</v>
      </c>
      <c r="F2108" s="4" t="str">
        <f t="shared" si="1"/>
        <v>500 &amp; Below</v>
      </c>
    </row>
    <row r="2109" ht="15.75" customHeight="1">
      <c r="A2109" s="4" t="s">
        <v>55</v>
      </c>
      <c r="B2109" s="7">
        <v>46021.0</v>
      </c>
      <c r="C2109" s="4" t="s">
        <v>694</v>
      </c>
      <c r="D2109" s="4" t="s">
        <v>3259</v>
      </c>
      <c r="E2109" s="8">
        <v>35.0</v>
      </c>
      <c r="F2109" s="4" t="str">
        <f t="shared" si="1"/>
        <v>500 &amp; Below</v>
      </c>
    </row>
    <row r="2110" ht="15.75" customHeight="1">
      <c r="A2110" s="4" t="s">
        <v>55</v>
      </c>
      <c r="B2110" s="7">
        <v>46021.0</v>
      </c>
      <c r="C2110" s="4" t="s">
        <v>694</v>
      </c>
      <c r="D2110" s="4" t="s">
        <v>112</v>
      </c>
      <c r="E2110" s="8">
        <v>20.0</v>
      </c>
      <c r="F2110" s="4" t="str">
        <f t="shared" si="1"/>
        <v>500 &amp; Below</v>
      </c>
    </row>
    <row r="2111" ht="15.75" customHeight="1">
      <c r="A2111" s="4" t="s">
        <v>55</v>
      </c>
      <c r="B2111" s="7">
        <v>46022.0</v>
      </c>
      <c r="C2111" s="4" t="s">
        <v>694</v>
      </c>
      <c r="D2111" s="4" t="s">
        <v>1340</v>
      </c>
      <c r="E2111" s="8">
        <v>56.0</v>
      </c>
      <c r="F2111" s="4" t="str">
        <f t="shared" si="1"/>
        <v>500 &amp; Below</v>
      </c>
    </row>
    <row r="2112" ht="15.75" customHeight="1">
      <c r="A2112" s="4" t="s">
        <v>55</v>
      </c>
      <c r="B2112" s="7">
        <v>46022.0</v>
      </c>
      <c r="C2112" s="4" t="s">
        <v>694</v>
      </c>
      <c r="D2112" s="4" t="s">
        <v>3464</v>
      </c>
      <c r="E2112" s="8">
        <v>60.0</v>
      </c>
      <c r="F2112" s="4" t="str">
        <f t="shared" si="1"/>
        <v>500 &amp; Below</v>
      </c>
    </row>
    <row r="2113" ht="15.75" customHeight="1">
      <c r="A2113" s="4" t="s">
        <v>55</v>
      </c>
      <c r="B2113" s="7">
        <v>46022.0</v>
      </c>
      <c r="C2113" s="4" t="s">
        <v>694</v>
      </c>
      <c r="D2113" s="4" t="s">
        <v>24</v>
      </c>
      <c r="E2113" s="8">
        <v>20.0</v>
      </c>
      <c r="F2113" s="4" t="str">
        <f t="shared" si="1"/>
        <v>500 &amp; Below</v>
      </c>
    </row>
    <row r="2114" ht="15.75" customHeight="1">
      <c r="A2114" s="4" t="s">
        <v>55</v>
      </c>
      <c r="B2114" s="7">
        <v>46022.0</v>
      </c>
      <c r="C2114" s="4" t="s">
        <v>694</v>
      </c>
      <c r="D2114" s="4" t="s">
        <v>45</v>
      </c>
      <c r="E2114" s="8">
        <v>1266.0</v>
      </c>
      <c r="F2114" s="4" t="str">
        <f t="shared" si="1"/>
        <v>Above 500</v>
      </c>
    </row>
    <row r="2115" ht="15.75" customHeight="1">
      <c r="A2115" s="4" t="s">
        <v>55</v>
      </c>
      <c r="B2115" s="7">
        <v>46023.0</v>
      </c>
      <c r="C2115" s="4" t="s">
        <v>747</v>
      </c>
      <c r="D2115" s="4" t="s">
        <v>18</v>
      </c>
      <c r="E2115" s="8">
        <v>563.5</v>
      </c>
      <c r="F2115" s="4" t="str">
        <f t="shared" si="1"/>
        <v>Above 500</v>
      </c>
    </row>
    <row r="2116" ht="15.75" customHeight="1">
      <c r="A2116" s="4" t="s">
        <v>55</v>
      </c>
      <c r="B2116" s="7">
        <v>46023.0</v>
      </c>
      <c r="C2116" s="4" t="s">
        <v>747</v>
      </c>
      <c r="D2116" s="4" t="s">
        <v>108</v>
      </c>
      <c r="E2116" s="8">
        <v>460.0</v>
      </c>
      <c r="F2116" s="4" t="str">
        <f t="shared" si="1"/>
        <v>500 &amp; Below</v>
      </c>
    </row>
    <row r="2117" ht="15.75" customHeight="1">
      <c r="A2117" s="4" t="s">
        <v>55</v>
      </c>
      <c r="B2117" s="7">
        <v>46024.0</v>
      </c>
      <c r="C2117" s="4" t="s">
        <v>747</v>
      </c>
      <c r="D2117" s="4" t="s">
        <v>3250</v>
      </c>
      <c r="E2117" s="8">
        <v>217.0</v>
      </c>
      <c r="F2117" s="4" t="str">
        <f t="shared" si="1"/>
        <v>500 &amp; Below</v>
      </c>
    </row>
    <row r="2118" ht="15.75" customHeight="1">
      <c r="A2118" s="4" t="s">
        <v>55</v>
      </c>
      <c r="B2118" s="7">
        <v>46024.0</v>
      </c>
      <c r="C2118" s="4" t="s">
        <v>747</v>
      </c>
      <c r="D2118" s="4" t="s">
        <v>3290</v>
      </c>
      <c r="E2118" s="8">
        <v>160.0</v>
      </c>
      <c r="F2118" s="4" t="str">
        <f t="shared" si="1"/>
        <v>500 &amp; Below</v>
      </c>
    </row>
    <row r="2119" ht="15.75" customHeight="1">
      <c r="A2119" s="4" t="s">
        <v>55</v>
      </c>
      <c r="B2119" s="7">
        <v>46025.0</v>
      </c>
      <c r="C2119" s="4" t="s">
        <v>747</v>
      </c>
      <c r="D2119" s="4" t="s">
        <v>3285</v>
      </c>
      <c r="E2119" s="8">
        <v>334.0</v>
      </c>
      <c r="F2119" s="4" t="str">
        <f t="shared" si="1"/>
        <v>500 &amp; Below</v>
      </c>
    </row>
    <row r="2120" ht="15.75" customHeight="1">
      <c r="A2120" s="4" t="s">
        <v>55</v>
      </c>
      <c r="B2120" s="7">
        <v>46025.0</v>
      </c>
      <c r="C2120" s="4" t="s">
        <v>747</v>
      </c>
      <c r="D2120" s="4" t="s">
        <v>112</v>
      </c>
      <c r="E2120" s="8">
        <v>20.0</v>
      </c>
      <c r="F2120" s="4" t="str">
        <f t="shared" si="1"/>
        <v>500 &amp; Below</v>
      </c>
    </row>
    <row r="2121" ht="15.75" customHeight="1">
      <c r="A2121" s="4" t="s">
        <v>55</v>
      </c>
      <c r="B2121" s="7">
        <v>46026.0</v>
      </c>
      <c r="C2121" s="4" t="s">
        <v>747</v>
      </c>
      <c r="D2121" s="4" t="s">
        <v>3274</v>
      </c>
      <c r="E2121" s="8">
        <v>2000.0</v>
      </c>
      <c r="F2121" s="4" t="str">
        <f t="shared" si="1"/>
        <v>Above 500</v>
      </c>
    </row>
    <row r="2122" ht="15.75" customHeight="1">
      <c r="A2122" s="4" t="s">
        <v>55</v>
      </c>
      <c r="B2122" s="7">
        <v>46027.0</v>
      </c>
      <c r="C2122" s="4" t="s">
        <v>747</v>
      </c>
      <c r="D2122" s="4" t="s">
        <v>3285</v>
      </c>
      <c r="E2122" s="8">
        <v>125.0</v>
      </c>
      <c r="F2122" s="4" t="str">
        <f t="shared" si="1"/>
        <v>500 &amp; Below</v>
      </c>
    </row>
    <row r="2123" ht="15.75" customHeight="1">
      <c r="A2123" s="4" t="s">
        <v>55</v>
      </c>
      <c r="B2123" s="7">
        <v>46027.0</v>
      </c>
      <c r="C2123" s="4" t="s">
        <v>747</v>
      </c>
      <c r="D2123" s="4" t="s">
        <v>3465</v>
      </c>
      <c r="E2123" s="8">
        <v>35.0</v>
      </c>
      <c r="F2123" s="4" t="str">
        <f t="shared" si="1"/>
        <v>500 &amp; Below</v>
      </c>
    </row>
    <row r="2124" ht="15.75" customHeight="1">
      <c r="A2124" s="4" t="s">
        <v>55</v>
      </c>
      <c r="B2124" s="7">
        <v>46028.0</v>
      </c>
      <c r="C2124" s="4" t="s">
        <v>747</v>
      </c>
      <c r="D2124" s="4" t="s">
        <v>3218</v>
      </c>
      <c r="E2124" s="8">
        <v>317.0</v>
      </c>
      <c r="F2124" s="4" t="str">
        <f t="shared" si="1"/>
        <v>500 &amp; Below</v>
      </c>
    </row>
    <row r="2125" ht="15.75" customHeight="1">
      <c r="A2125" s="4" t="s">
        <v>55</v>
      </c>
      <c r="B2125" s="7">
        <v>46028.0</v>
      </c>
      <c r="C2125" s="4" t="s">
        <v>747</v>
      </c>
      <c r="D2125" s="4" t="s">
        <v>40</v>
      </c>
      <c r="E2125" s="8">
        <v>50.0</v>
      </c>
      <c r="F2125" s="4" t="str">
        <f t="shared" si="1"/>
        <v>500 &amp; Below</v>
      </c>
    </row>
    <row r="2126" ht="15.75" customHeight="1">
      <c r="A2126" s="4" t="s">
        <v>55</v>
      </c>
      <c r="B2126" s="7">
        <v>46028.0</v>
      </c>
      <c r="C2126" s="4" t="s">
        <v>747</v>
      </c>
      <c r="D2126" s="4" t="s">
        <v>24</v>
      </c>
      <c r="E2126" s="8">
        <v>15.0</v>
      </c>
      <c r="F2126" s="4" t="str">
        <f t="shared" si="1"/>
        <v>500 &amp; Below</v>
      </c>
    </row>
    <row r="2127" ht="15.75" customHeight="1">
      <c r="A2127" s="4" t="s">
        <v>55</v>
      </c>
      <c r="B2127" s="7">
        <v>46028.0</v>
      </c>
      <c r="C2127" s="4" t="s">
        <v>747</v>
      </c>
      <c r="D2127" s="4" t="s">
        <v>3466</v>
      </c>
      <c r="E2127" s="8">
        <v>350.0</v>
      </c>
      <c r="F2127" s="4" t="str">
        <f t="shared" si="1"/>
        <v>500 &amp; Below</v>
      </c>
    </row>
    <row r="2128" ht="15.75" customHeight="1">
      <c r="A2128" s="4" t="s">
        <v>55</v>
      </c>
      <c r="B2128" s="7">
        <v>46029.0</v>
      </c>
      <c r="C2128" s="4" t="s">
        <v>747</v>
      </c>
      <c r="D2128" s="4" t="s">
        <v>3310</v>
      </c>
      <c r="E2128" s="8">
        <v>30.0</v>
      </c>
      <c r="F2128" s="4" t="str">
        <f t="shared" si="1"/>
        <v>500 &amp; Below</v>
      </c>
    </row>
    <row r="2129" ht="15.75" customHeight="1">
      <c r="A2129" s="4" t="s">
        <v>55</v>
      </c>
      <c r="B2129" s="7">
        <v>46030.0</v>
      </c>
      <c r="C2129" s="4" t="s">
        <v>747</v>
      </c>
      <c r="D2129" s="4" t="s">
        <v>41</v>
      </c>
      <c r="E2129" s="8">
        <v>145.0</v>
      </c>
      <c r="F2129" s="4" t="str">
        <f t="shared" si="1"/>
        <v>500 &amp; Below</v>
      </c>
    </row>
    <row r="2130" ht="15.75" customHeight="1">
      <c r="A2130" s="4" t="s">
        <v>55</v>
      </c>
      <c r="B2130" s="7">
        <v>46030.0</v>
      </c>
      <c r="C2130" s="4" t="s">
        <v>747</v>
      </c>
      <c r="D2130" s="4" t="s">
        <v>117</v>
      </c>
      <c r="E2130" s="8">
        <v>35.0</v>
      </c>
      <c r="F2130" s="4" t="str">
        <f t="shared" si="1"/>
        <v>500 &amp; Below</v>
      </c>
    </row>
    <row r="2131" ht="15.75" customHeight="1">
      <c r="A2131" s="4" t="s">
        <v>55</v>
      </c>
      <c r="B2131" s="7">
        <v>46031.0</v>
      </c>
      <c r="C2131" s="4" t="s">
        <v>747</v>
      </c>
      <c r="D2131" s="4" t="s">
        <v>3285</v>
      </c>
      <c r="E2131" s="8">
        <v>94.0</v>
      </c>
      <c r="F2131" s="4" t="str">
        <f t="shared" si="1"/>
        <v>500 &amp; Below</v>
      </c>
    </row>
    <row r="2132" ht="15.75" customHeight="1">
      <c r="A2132" s="4" t="s">
        <v>55</v>
      </c>
      <c r="B2132" s="7">
        <v>46031.0</v>
      </c>
      <c r="C2132" s="4" t="s">
        <v>747</v>
      </c>
      <c r="D2132" s="4" t="s">
        <v>3467</v>
      </c>
      <c r="E2132" s="8">
        <v>108.0</v>
      </c>
      <c r="F2132" s="4" t="str">
        <f t="shared" si="1"/>
        <v>500 &amp; Below</v>
      </c>
    </row>
    <row r="2133" ht="15.75" customHeight="1">
      <c r="A2133" s="4" t="s">
        <v>55</v>
      </c>
      <c r="B2133" s="7">
        <v>46031.0</v>
      </c>
      <c r="C2133" s="4" t="s">
        <v>747</v>
      </c>
      <c r="D2133" s="4" t="s">
        <v>45</v>
      </c>
      <c r="E2133" s="8">
        <v>828.0</v>
      </c>
      <c r="F2133" s="4" t="str">
        <f t="shared" si="1"/>
        <v>Above 500</v>
      </c>
    </row>
    <row r="2134" ht="15.75" customHeight="1">
      <c r="A2134" s="4" t="s">
        <v>55</v>
      </c>
      <c r="B2134" s="7">
        <v>46032.0</v>
      </c>
      <c r="C2134" s="4" t="s">
        <v>747</v>
      </c>
      <c r="D2134" s="4" t="s">
        <v>3456</v>
      </c>
      <c r="E2134" s="8">
        <v>100.0</v>
      </c>
      <c r="F2134" s="4" t="str">
        <f t="shared" si="1"/>
        <v>500 &amp; Below</v>
      </c>
    </row>
    <row r="2135" ht="15.75" customHeight="1">
      <c r="A2135" s="4" t="s">
        <v>55</v>
      </c>
      <c r="B2135" s="7">
        <v>46032.0</v>
      </c>
      <c r="C2135" s="4" t="s">
        <v>747</v>
      </c>
      <c r="D2135" s="4" t="s">
        <v>3468</v>
      </c>
      <c r="E2135" s="8">
        <v>50.0</v>
      </c>
      <c r="F2135" s="4" t="str">
        <f t="shared" si="1"/>
        <v>500 &amp; Below</v>
      </c>
    </row>
    <row r="2136" ht="15.75" customHeight="1">
      <c r="A2136" s="4" t="s">
        <v>55</v>
      </c>
      <c r="B2136" s="7">
        <v>46032.0</v>
      </c>
      <c r="C2136" s="4" t="s">
        <v>747</v>
      </c>
      <c r="D2136" s="4" t="s">
        <v>3469</v>
      </c>
      <c r="E2136" s="8">
        <v>80.0</v>
      </c>
      <c r="F2136" s="4" t="str">
        <f t="shared" si="1"/>
        <v>500 &amp; Below</v>
      </c>
    </row>
    <row r="2137" ht="15.75" customHeight="1">
      <c r="A2137" s="4" t="s">
        <v>55</v>
      </c>
      <c r="B2137" s="7">
        <v>46032.0</v>
      </c>
      <c r="C2137" s="4" t="s">
        <v>747</v>
      </c>
      <c r="D2137" s="4" t="s">
        <v>1440</v>
      </c>
      <c r="E2137" s="8">
        <v>120.0</v>
      </c>
      <c r="F2137" s="4" t="str">
        <f t="shared" si="1"/>
        <v>500 &amp; Below</v>
      </c>
    </row>
    <row r="2138" ht="15.75" customHeight="1">
      <c r="A2138" s="4" t="s">
        <v>55</v>
      </c>
      <c r="B2138" s="7">
        <v>46032.0</v>
      </c>
      <c r="C2138" s="4" t="s">
        <v>747</v>
      </c>
      <c r="D2138" s="4" t="s">
        <v>79</v>
      </c>
      <c r="E2138" s="8">
        <v>20.0</v>
      </c>
      <c r="F2138" s="4" t="str">
        <f t="shared" si="1"/>
        <v>500 &amp; Below</v>
      </c>
    </row>
    <row r="2139" ht="15.75" customHeight="1">
      <c r="A2139" s="4" t="s">
        <v>55</v>
      </c>
      <c r="B2139" s="7">
        <v>46032.0</v>
      </c>
      <c r="C2139" s="4" t="s">
        <v>747</v>
      </c>
      <c r="D2139" s="4" t="s">
        <v>3218</v>
      </c>
      <c r="E2139" s="8">
        <v>342.0</v>
      </c>
      <c r="F2139" s="4" t="str">
        <f t="shared" si="1"/>
        <v>500 &amp; Below</v>
      </c>
    </row>
    <row r="2140" ht="15.75" customHeight="1">
      <c r="A2140" s="4" t="s">
        <v>55</v>
      </c>
      <c r="B2140" s="7">
        <v>46032.0</v>
      </c>
      <c r="C2140" s="4" t="s">
        <v>747</v>
      </c>
      <c r="D2140" s="4" t="s">
        <v>117</v>
      </c>
      <c r="E2140" s="8">
        <v>45.0</v>
      </c>
      <c r="F2140" s="4" t="str">
        <f t="shared" si="1"/>
        <v>500 &amp; Below</v>
      </c>
    </row>
    <row r="2141" ht="15.75" customHeight="1">
      <c r="A2141" s="4" t="s">
        <v>55</v>
      </c>
      <c r="B2141" s="7">
        <v>46032.0</v>
      </c>
      <c r="C2141" s="4" t="s">
        <v>747</v>
      </c>
      <c r="D2141" s="4" t="s">
        <v>3445</v>
      </c>
      <c r="E2141" s="8">
        <v>100.0</v>
      </c>
      <c r="F2141" s="4" t="str">
        <f t="shared" si="1"/>
        <v>500 &amp; Below</v>
      </c>
    </row>
    <row r="2142" ht="15.75" customHeight="1">
      <c r="A2142" s="4" t="s">
        <v>55</v>
      </c>
      <c r="B2142" s="7">
        <v>46032.0</v>
      </c>
      <c r="C2142" s="4" t="s">
        <v>747</v>
      </c>
      <c r="D2142" s="4" t="s">
        <v>3285</v>
      </c>
      <c r="E2142" s="8">
        <v>45.0</v>
      </c>
      <c r="F2142" s="4" t="str">
        <f t="shared" si="1"/>
        <v>500 &amp; Below</v>
      </c>
    </row>
    <row r="2143" ht="15.75" customHeight="1">
      <c r="A2143" s="4" t="s">
        <v>55</v>
      </c>
      <c r="B2143" s="7">
        <v>46032.0</v>
      </c>
      <c r="C2143" s="4" t="s">
        <v>747</v>
      </c>
      <c r="D2143" s="4" t="s">
        <v>3422</v>
      </c>
      <c r="E2143" s="8">
        <v>5000.0</v>
      </c>
      <c r="F2143" s="4" t="str">
        <f t="shared" si="1"/>
        <v>Above 500</v>
      </c>
    </row>
    <row r="2144" ht="15.75" customHeight="1">
      <c r="A2144" s="4" t="s">
        <v>55</v>
      </c>
      <c r="B2144" s="7">
        <v>46033.0</v>
      </c>
      <c r="C2144" s="4" t="s">
        <v>747</v>
      </c>
      <c r="D2144" s="4" t="s">
        <v>3470</v>
      </c>
      <c r="E2144" s="8">
        <v>603.0</v>
      </c>
      <c r="F2144" s="4" t="str">
        <f t="shared" si="1"/>
        <v>Above 500</v>
      </c>
    </row>
    <row r="2145" ht="15.75" customHeight="1">
      <c r="A2145" s="4" t="s">
        <v>55</v>
      </c>
      <c r="B2145" s="7">
        <v>46033.0</v>
      </c>
      <c r="C2145" s="4" t="s">
        <v>747</v>
      </c>
      <c r="D2145" s="4" t="s">
        <v>3470</v>
      </c>
      <c r="E2145" s="8">
        <v>1465.0</v>
      </c>
      <c r="F2145" s="4" t="str">
        <f t="shared" si="1"/>
        <v>Above 500</v>
      </c>
    </row>
    <row r="2146" ht="15.75" customHeight="1">
      <c r="A2146" s="4" t="s">
        <v>55</v>
      </c>
      <c r="B2146" s="7">
        <v>46033.0</v>
      </c>
      <c r="C2146" s="4" t="s">
        <v>747</v>
      </c>
      <c r="D2146" s="4" t="s">
        <v>48</v>
      </c>
      <c r="E2146" s="8">
        <v>302.0</v>
      </c>
      <c r="F2146" s="4" t="str">
        <f t="shared" si="1"/>
        <v>500 &amp; Below</v>
      </c>
    </row>
    <row r="2147" ht="15.75" customHeight="1">
      <c r="A2147" s="4" t="s">
        <v>55</v>
      </c>
      <c r="B2147" s="7">
        <v>46033.0</v>
      </c>
      <c r="C2147" s="4" t="s">
        <v>747</v>
      </c>
      <c r="D2147" s="4" t="s">
        <v>3470</v>
      </c>
      <c r="E2147" s="8">
        <v>2650.0</v>
      </c>
      <c r="F2147" s="4" t="str">
        <f t="shared" si="1"/>
        <v>Above 500</v>
      </c>
    </row>
    <row r="2148" ht="15.75" customHeight="1">
      <c r="A2148" s="4" t="s">
        <v>55</v>
      </c>
      <c r="B2148" s="7">
        <v>46034.0</v>
      </c>
      <c r="C2148" s="4" t="s">
        <v>747</v>
      </c>
      <c r="D2148" s="4" t="s">
        <v>52</v>
      </c>
      <c r="E2148" s="8">
        <v>542.0</v>
      </c>
      <c r="F2148" s="4" t="str">
        <f t="shared" si="1"/>
        <v>Above 500</v>
      </c>
    </row>
    <row r="2149" ht="15.75" customHeight="1">
      <c r="A2149" s="4" t="s">
        <v>55</v>
      </c>
      <c r="B2149" s="7">
        <v>46034.0</v>
      </c>
      <c r="C2149" s="4" t="s">
        <v>747</v>
      </c>
      <c r="D2149" s="4" t="s">
        <v>948</v>
      </c>
      <c r="E2149" s="8">
        <v>200.0</v>
      </c>
      <c r="F2149" s="4" t="str">
        <f t="shared" si="1"/>
        <v>500 &amp; Below</v>
      </c>
    </row>
    <row r="2150" ht="15.75" customHeight="1">
      <c r="A2150" s="4" t="s">
        <v>55</v>
      </c>
      <c r="B2150" s="7">
        <v>46034.0</v>
      </c>
      <c r="C2150" s="4" t="s">
        <v>747</v>
      </c>
      <c r="D2150" s="4" t="s">
        <v>124</v>
      </c>
      <c r="E2150" s="8">
        <v>151.0</v>
      </c>
      <c r="F2150" s="4" t="str">
        <f t="shared" si="1"/>
        <v>500 &amp; Below</v>
      </c>
    </row>
    <row r="2151" ht="15.75" customHeight="1">
      <c r="A2151" s="4" t="s">
        <v>55</v>
      </c>
      <c r="B2151" s="7">
        <v>46034.0</v>
      </c>
      <c r="C2151" s="4" t="s">
        <v>747</v>
      </c>
      <c r="D2151" s="4" t="s">
        <v>3471</v>
      </c>
      <c r="E2151" s="8">
        <v>511.0</v>
      </c>
      <c r="F2151" s="4" t="str">
        <f t="shared" si="1"/>
        <v>Above 500</v>
      </c>
    </row>
    <row r="2152" ht="15.75" customHeight="1">
      <c r="A2152" s="4" t="s">
        <v>55</v>
      </c>
      <c r="B2152" s="7">
        <v>46035.0</v>
      </c>
      <c r="C2152" s="4" t="s">
        <v>747</v>
      </c>
      <c r="D2152" s="4" t="s">
        <v>26</v>
      </c>
      <c r="E2152" s="8">
        <v>60.0</v>
      </c>
      <c r="F2152" s="4" t="str">
        <f t="shared" si="1"/>
        <v>500 &amp; Below</v>
      </c>
    </row>
    <row r="2153" ht="15.75" customHeight="1">
      <c r="A2153" s="4" t="s">
        <v>55</v>
      </c>
      <c r="B2153" s="7">
        <v>46035.0</v>
      </c>
      <c r="C2153" s="4" t="s">
        <v>747</v>
      </c>
      <c r="D2153" s="4" t="s">
        <v>2357</v>
      </c>
      <c r="E2153" s="8">
        <v>305.0</v>
      </c>
      <c r="F2153" s="4" t="str">
        <f t="shared" si="1"/>
        <v>500 &amp; Below</v>
      </c>
    </row>
    <row r="2154" ht="15.75" customHeight="1">
      <c r="A2154" s="4" t="s">
        <v>55</v>
      </c>
      <c r="B2154" s="7">
        <v>46035.0</v>
      </c>
      <c r="C2154" s="4" t="s">
        <v>747</v>
      </c>
      <c r="D2154" s="4" t="s">
        <v>28</v>
      </c>
      <c r="E2154" s="8">
        <v>40.0</v>
      </c>
      <c r="F2154" s="4" t="str">
        <f t="shared" si="1"/>
        <v>500 &amp; Below</v>
      </c>
    </row>
    <row r="2155" ht="15.75" customHeight="1">
      <c r="A2155" s="4" t="s">
        <v>55</v>
      </c>
      <c r="B2155" s="7">
        <v>46035.0</v>
      </c>
      <c r="C2155" s="4" t="s">
        <v>747</v>
      </c>
      <c r="D2155" s="4" t="s">
        <v>3218</v>
      </c>
      <c r="E2155" s="8">
        <v>130.0</v>
      </c>
      <c r="F2155" s="4" t="str">
        <f t="shared" si="1"/>
        <v>500 &amp; Below</v>
      </c>
    </row>
    <row r="2156" ht="15.75" customHeight="1">
      <c r="A2156" s="4" t="s">
        <v>55</v>
      </c>
      <c r="B2156" s="7">
        <v>46035.0</v>
      </c>
      <c r="C2156" s="4" t="s">
        <v>747</v>
      </c>
      <c r="D2156" s="4" t="s">
        <v>3268</v>
      </c>
      <c r="E2156" s="8">
        <v>984.95</v>
      </c>
      <c r="F2156" s="4" t="str">
        <f t="shared" si="1"/>
        <v>Above 500</v>
      </c>
    </row>
    <row r="2157" ht="15.75" customHeight="1">
      <c r="A2157" s="4" t="s">
        <v>55</v>
      </c>
      <c r="B2157" s="7">
        <v>46037.0</v>
      </c>
      <c r="C2157" s="4" t="s">
        <v>747</v>
      </c>
      <c r="D2157" s="4" t="s">
        <v>97</v>
      </c>
      <c r="E2157" s="8">
        <v>330.0</v>
      </c>
      <c r="F2157" s="4" t="str">
        <f t="shared" si="1"/>
        <v>500 &amp; Below</v>
      </c>
    </row>
    <row r="2158" ht="15.75" customHeight="1">
      <c r="A2158" s="4" t="s">
        <v>55</v>
      </c>
      <c r="B2158" s="7">
        <v>46037.0</v>
      </c>
      <c r="C2158" s="4" t="s">
        <v>747</v>
      </c>
      <c r="D2158" s="4" t="s">
        <v>3218</v>
      </c>
      <c r="E2158" s="8">
        <v>347.0</v>
      </c>
      <c r="F2158" s="4" t="str">
        <f t="shared" si="1"/>
        <v>500 &amp; Below</v>
      </c>
    </row>
    <row r="2159" ht="15.75" customHeight="1">
      <c r="A2159" s="4" t="s">
        <v>55</v>
      </c>
      <c r="B2159" s="7">
        <v>46037.0</v>
      </c>
      <c r="C2159" s="4" t="s">
        <v>747</v>
      </c>
      <c r="D2159" s="4" t="s">
        <v>39</v>
      </c>
      <c r="E2159" s="8">
        <v>20.0</v>
      </c>
      <c r="F2159" s="4" t="str">
        <f t="shared" si="1"/>
        <v>500 &amp; Below</v>
      </c>
    </row>
    <row r="2160" ht="15.75" customHeight="1">
      <c r="A2160" s="4" t="s">
        <v>55</v>
      </c>
      <c r="B2160" s="7">
        <v>46037.0</v>
      </c>
      <c r="C2160" s="4" t="s">
        <v>747</v>
      </c>
      <c r="D2160" s="4" t="s">
        <v>39</v>
      </c>
      <c r="E2160" s="8">
        <v>40.0</v>
      </c>
      <c r="F2160" s="4" t="str">
        <f t="shared" si="1"/>
        <v>500 &amp; Below</v>
      </c>
    </row>
    <row r="2161" ht="15.75" customHeight="1">
      <c r="A2161" s="4" t="s">
        <v>55</v>
      </c>
      <c r="B2161" s="7">
        <v>46037.0</v>
      </c>
      <c r="C2161" s="4" t="s">
        <v>747</v>
      </c>
      <c r="D2161" s="4" t="s">
        <v>112</v>
      </c>
      <c r="E2161" s="8">
        <v>20.0</v>
      </c>
      <c r="F2161" s="4" t="str">
        <f t="shared" si="1"/>
        <v>500 &amp; Below</v>
      </c>
    </row>
    <row r="2162" ht="15.75" customHeight="1">
      <c r="A2162" s="4" t="s">
        <v>55</v>
      </c>
      <c r="B2162" s="7">
        <v>46038.0</v>
      </c>
      <c r="C2162" s="4" t="s">
        <v>747</v>
      </c>
      <c r="D2162" s="4" t="s">
        <v>26</v>
      </c>
      <c r="E2162" s="8">
        <v>170.0</v>
      </c>
      <c r="F2162" s="4" t="str">
        <f t="shared" si="1"/>
        <v>500 &amp; Below</v>
      </c>
    </row>
    <row r="2163" ht="15.75" customHeight="1">
      <c r="A2163" s="4" t="s">
        <v>55</v>
      </c>
      <c r="B2163" s="7">
        <v>46038.0</v>
      </c>
      <c r="C2163" s="4" t="s">
        <v>747</v>
      </c>
      <c r="D2163" s="4" t="s">
        <v>112</v>
      </c>
      <c r="E2163" s="8">
        <v>16.0</v>
      </c>
      <c r="F2163" s="4" t="str">
        <f t="shared" si="1"/>
        <v>500 &amp; Below</v>
      </c>
    </row>
    <row r="2164" ht="15.75" customHeight="1">
      <c r="A2164" s="4" t="s">
        <v>55</v>
      </c>
      <c r="B2164" s="7">
        <v>46038.0</v>
      </c>
      <c r="C2164" s="4" t="s">
        <v>747</v>
      </c>
      <c r="D2164" s="4" t="s">
        <v>3472</v>
      </c>
      <c r="E2164" s="8">
        <v>70.0</v>
      </c>
      <c r="F2164" s="4" t="str">
        <f t="shared" si="1"/>
        <v>500 &amp; Below</v>
      </c>
    </row>
    <row r="2165" ht="15.75" customHeight="1">
      <c r="A2165" s="4" t="s">
        <v>55</v>
      </c>
      <c r="B2165" s="7">
        <v>46039.0</v>
      </c>
      <c r="C2165" s="4" t="s">
        <v>747</v>
      </c>
      <c r="D2165" s="4" t="s">
        <v>3268</v>
      </c>
      <c r="E2165" s="8">
        <v>162.25</v>
      </c>
      <c r="F2165" s="4" t="str">
        <f t="shared" si="1"/>
        <v>500 &amp; Below</v>
      </c>
    </row>
    <row r="2166" ht="15.75" customHeight="1">
      <c r="A2166" s="4" t="s">
        <v>55</v>
      </c>
      <c r="B2166" s="7">
        <v>46039.0</v>
      </c>
      <c r="C2166" s="4" t="s">
        <v>747</v>
      </c>
      <c r="D2166" s="4" t="s">
        <v>3473</v>
      </c>
      <c r="E2166" s="8">
        <v>1637.07</v>
      </c>
      <c r="F2166" s="4" t="str">
        <f t="shared" si="1"/>
        <v>Above 500</v>
      </c>
    </row>
    <row r="2167" ht="15.75" customHeight="1">
      <c r="A2167" s="4" t="s">
        <v>55</v>
      </c>
      <c r="B2167" s="7">
        <v>46039.0</v>
      </c>
      <c r="C2167" s="4" t="s">
        <v>747</v>
      </c>
      <c r="D2167" s="4" t="s">
        <v>989</v>
      </c>
      <c r="E2167" s="8">
        <v>1450.0</v>
      </c>
      <c r="F2167" s="4" t="str">
        <f t="shared" si="1"/>
        <v>Above 500</v>
      </c>
    </row>
    <row r="2168" ht="15.75" customHeight="1">
      <c r="A2168" s="4" t="s">
        <v>55</v>
      </c>
      <c r="B2168" s="7">
        <v>46039.0</v>
      </c>
      <c r="C2168" s="4" t="s">
        <v>747</v>
      </c>
      <c r="D2168" s="4" t="s">
        <v>3474</v>
      </c>
      <c r="E2168" s="8">
        <v>490.0</v>
      </c>
      <c r="F2168" s="4" t="str">
        <f t="shared" si="1"/>
        <v>500 &amp; Below</v>
      </c>
    </row>
    <row r="2169" ht="15.75" customHeight="1">
      <c r="A2169" s="4" t="s">
        <v>55</v>
      </c>
      <c r="B2169" s="7">
        <v>46039.0</v>
      </c>
      <c r="C2169" s="4" t="s">
        <v>747</v>
      </c>
      <c r="D2169" s="4" t="s">
        <v>1440</v>
      </c>
      <c r="E2169" s="8">
        <v>100.0</v>
      </c>
      <c r="F2169" s="4" t="str">
        <f t="shared" si="1"/>
        <v>500 &amp; Below</v>
      </c>
    </row>
    <row r="2170" ht="15.75" customHeight="1">
      <c r="A2170" s="4" t="s">
        <v>55</v>
      </c>
      <c r="B2170" s="7">
        <v>46039.0</v>
      </c>
      <c r="C2170" s="4" t="s">
        <v>747</v>
      </c>
      <c r="D2170" s="4" t="s">
        <v>39</v>
      </c>
      <c r="E2170" s="8">
        <v>20.0</v>
      </c>
      <c r="F2170" s="4" t="str">
        <f t="shared" si="1"/>
        <v>500 &amp; Below</v>
      </c>
    </row>
    <row r="2171" ht="15.75" customHeight="1">
      <c r="A2171" s="4" t="s">
        <v>55</v>
      </c>
      <c r="B2171" s="7">
        <v>46040.0</v>
      </c>
      <c r="C2171" s="4" t="s">
        <v>747</v>
      </c>
      <c r="D2171" s="4" t="s">
        <v>124</v>
      </c>
      <c r="E2171" s="8">
        <v>299.0</v>
      </c>
      <c r="F2171" s="4" t="str">
        <f t="shared" si="1"/>
        <v>500 &amp; Below</v>
      </c>
    </row>
    <row r="2172" ht="15.75" customHeight="1">
      <c r="A2172" s="4" t="s">
        <v>55</v>
      </c>
      <c r="B2172" s="7">
        <v>46040.0</v>
      </c>
      <c r="C2172" s="4" t="s">
        <v>747</v>
      </c>
      <c r="D2172" s="4" t="s">
        <v>3275</v>
      </c>
      <c r="E2172" s="8">
        <v>670.0</v>
      </c>
      <c r="F2172" s="4" t="str">
        <f t="shared" si="1"/>
        <v>Above 500</v>
      </c>
    </row>
    <row r="2173" ht="15.75" customHeight="1">
      <c r="A2173" s="4" t="s">
        <v>55</v>
      </c>
      <c r="B2173" s="7">
        <v>46040.0</v>
      </c>
      <c r="C2173" s="4" t="s">
        <v>747</v>
      </c>
      <c r="D2173" s="4" t="s">
        <v>928</v>
      </c>
      <c r="E2173" s="8">
        <v>61.0</v>
      </c>
      <c r="F2173" s="4" t="str">
        <f t="shared" si="1"/>
        <v>500 &amp; Below</v>
      </c>
    </row>
    <row r="2174" ht="15.75" customHeight="1">
      <c r="A2174" s="4" t="s">
        <v>55</v>
      </c>
      <c r="B2174" s="7">
        <v>46040.0</v>
      </c>
      <c r="C2174" s="4" t="s">
        <v>747</v>
      </c>
      <c r="D2174" s="4" t="s">
        <v>3285</v>
      </c>
      <c r="E2174" s="8">
        <v>87.5</v>
      </c>
      <c r="F2174" s="4" t="str">
        <f t="shared" si="1"/>
        <v>500 &amp; Below</v>
      </c>
    </row>
    <row r="2175" ht="15.75" customHeight="1">
      <c r="A2175" s="4" t="s">
        <v>55</v>
      </c>
      <c r="B2175" s="7">
        <v>46040.0</v>
      </c>
      <c r="C2175" s="4" t="s">
        <v>747</v>
      </c>
      <c r="D2175" s="4" t="s">
        <v>103</v>
      </c>
      <c r="E2175" s="8">
        <v>330.0</v>
      </c>
      <c r="F2175" s="4" t="str">
        <f t="shared" si="1"/>
        <v>500 &amp; Below</v>
      </c>
    </row>
    <row r="2176" ht="15.75" customHeight="1">
      <c r="A2176" s="4" t="s">
        <v>55</v>
      </c>
      <c r="B2176" s="7">
        <v>46040.0</v>
      </c>
      <c r="C2176" s="4" t="s">
        <v>747</v>
      </c>
      <c r="D2176" s="4" t="s">
        <v>3472</v>
      </c>
      <c r="E2176" s="8">
        <v>70.0</v>
      </c>
      <c r="F2176" s="4" t="str">
        <f t="shared" si="1"/>
        <v>500 &amp; Below</v>
      </c>
    </row>
    <row r="2177" ht="15.75" customHeight="1">
      <c r="A2177" s="4" t="s">
        <v>55</v>
      </c>
      <c r="B2177" s="7">
        <v>46041.0</v>
      </c>
      <c r="C2177" s="4" t="s">
        <v>747</v>
      </c>
      <c r="D2177" s="4" t="s">
        <v>956</v>
      </c>
      <c r="E2177" s="8">
        <v>30.0</v>
      </c>
      <c r="F2177" s="4" t="str">
        <f t="shared" si="1"/>
        <v>500 &amp; Below</v>
      </c>
    </row>
    <row r="2178" ht="15.75" customHeight="1">
      <c r="A2178" s="4" t="s">
        <v>55</v>
      </c>
      <c r="B2178" s="7">
        <v>46041.0</v>
      </c>
      <c r="C2178" s="4" t="s">
        <v>747</v>
      </c>
      <c r="D2178" s="4" t="s">
        <v>2357</v>
      </c>
      <c r="E2178" s="8">
        <v>100.0</v>
      </c>
      <c r="F2178" s="4" t="str">
        <f t="shared" si="1"/>
        <v>500 &amp; Below</v>
      </c>
    </row>
    <row r="2179" ht="15.75" customHeight="1">
      <c r="A2179" s="4" t="s">
        <v>55</v>
      </c>
      <c r="B2179" s="7">
        <v>46041.0</v>
      </c>
      <c r="C2179" s="4" t="s">
        <v>747</v>
      </c>
      <c r="D2179" s="4" t="s">
        <v>1340</v>
      </c>
      <c r="E2179" s="8">
        <v>130.0</v>
      </c>
      <c r="F2179" s="4" t="str">
        <f t="shared" si="1"/>
        <v>500 &amp; Below</v>
      </c>
    </row>
    <row r="2180" ht="15.75" customHeight="1">
      <c r="A2180" s="4" t="s">
        <v>55</v>
      </c>
      <c r="B2180" s="7">
        <v>46041.0</v>
      </c>
      <c r="C2180" s="4" t="s">
        <v>747</v>
      </c>
      <c r="D2180" s="4" t="s">
        <v>112</v>
      </c>
      <c r="E2180" s="8">
        <v>10.0</v>
      </c>
      <c r="F2180" s="4" t="str">
        <f t="shared" si="1"/>
        <v>500 &amp; Below</v>
      </c>
    </row>
    <row r="2181" ht="15.75" customHeight="1">
      <c r="A2181" s="4" t="s">
        <v>55</v>
      </c>
      <c r="B2181" s="7">
        <v>46042.0</v>
      </c>
      <c r="C2181" s="4" t="s">
        <v>747</v>
      </c>
      <c r="D2181" s="4" t="s">
        <v>3475</v>
      </c>
      <c r="E2181" s="8">
        <v>305.0</v>
      </c>
      <c r="F2181" s="4" t="str">
        <f t="shared" si="1"/>
        <v>500 &amp; Below</v>
      </c>
    </row>
    <row r="2182" ht="15.75" customHeight="1">
      <c r="A2182" s="4" t="s">
        <v>55</v>
      </c>
      <c r="B2182" s="7">
        <v>46042.0</v>
      </c>
      <c r="C2182" s="4" t="s">
        <v>747</v>
      </c>
      <c r="D2182" s="4" t="s">
        <v>26</v>
      </c>
      <c r="E2182" s="8">
        <v>60.0</v>
      </c>
      <c r="F2182" s="4" t="str">
        <f t="shared" si="1"/>
        <v>500 &amp; Below</v>
      </c>
    </row>
    <row r="2183" ht="15.75" customHeight="1">
      <c r="A2183" s="4" t="s">
        <v>55</v>
      </c>
      <c r="B2183" s="7">
        <v>46042.0</v>
      </c>
      <c r="C2183" s="4" t="s">
        <v>747</v>
      </c>
      <c r="D2183" s="4" t="s">
        <v>117</v>
      </c>
      <c r="E2183" s="8">
        <v>50.0</v>
      </c>
      <c r="F2183" s="4" t="str">
        <f t="shared" si="1"/>
        <v>500 &amp; Below</v>
      </c>
    </row>
    <row r="2184" ht="15.75" customHeight="1">
      <c r="A2184" s="4" t="s">
        <v>55</v>
      </c>
      <c r="B2184" s="7">
        <v>46042.0</v>
      </c>
      <c r="C2184" s="4" t="s">
        <v>747</v>
      </c>
      <c r="D2184" s="4" t="s">
        <v>106</v>
      </c>
      <c r="E2184" s="8">
        <v>20.0</v>
      </c>
      <c r="F2184" s="4" t="str">
        <f t="shared" si="1"/>
        <v>500 &amp; Below</v>
      </c>
    </row>
    <row r="2185" ht="15.75" customHeight="1">
      <c r="A2185" s="4" t="s">
        <v>55</v>
      </c>
      <c r="B2185" s="7">
        <v>46043.0</v>
      </c>
      <c r="C2185" s="4" t="s">
        <v>747</v>
      </c>
      <c r="D2185" s="4" t="s">
        <v>117</v>
      </c>
      <c r="E2185" s="8">
        <v>43.0</v>
      </c>
      <c r="F2185" s="4" t="str">
        <f t="shared" si="1"/>
        <v>500 &amp; Below</v>
      </c>
    </row>
    <row r="2186" ht="15.75" customHeight="1">
      <c r="A2186" s="4" t="s">
        <v>55</v>
      </c>
      <c r="B2186" s="7">
        <v>46043.0</v>
      </c>
      <c r="C2186" s="4" t="s">
        <v>747</v>
      </c>
      <c r="D2186" s="4" t="s">
        <v>79</v>
      </c>
      <c r="E2186" s="8">
        <v>20.0</v>
      </c>
      <c r="F2186" s="4" t="str">
        <f t="shared" si="1"/>
        <v>500 &amp; Below</v>
      </c>
    </row>
    <row r="2187" ht="15.75" customHeight="1">
      <c r="A2187" s="4" t="s">
        <v>55</v>
      </c>
      <c r="B2187" s="7">
        <v>46044.0</v>
      </c>
      <c r="C2187" s="4" t="s">
        <v>747</v>
      </c>
      <c r="D2187" s="4" t="s">
        <v>1340</v>
      </c>
      <c r="E2187" s="8">
        <v>22.0</v>
      </c>
      <c r="F2187" s="4" t="str">
        <f t="shared" si="1"/>
        <v>500 &amp; Below</v>
      </c>
    </row>
    <row r="2188" ht="15.75" customHeight="1">
      <c r="A2188" s="4" t="s">
        <v>55</v>
      </c>
      <c r="B2188" s="7">
        <v>46044.0</v>
      </c>
      <c r="C2188" s="4" t="s">
        <v>747</v>
      </c>
      <c r="D2188" s="4" t="s">
        <v>1340</v>
      </c>
      <c r="E2188" s="8">
        <v>49.0</v>
      </c>
      <c r="F2188" s="4" t="str">
        <f t="shared" si="1"/>
        <v>500 &amp; Below</v>
      </c>
    </row>
    <row r="2189" ht="15.75" customHeight="1">
      <c r="A2189" s="4" t="s">
        <v>55</v>
      </c>
      <c r="B2189" s="7">
        <v>46044.0</v>
      </c>
      <c r="C2189" s="4" t="s">
        <v>747</v>
      </c>
      <c r="D2189" s="4" t="s">
        <v>108</v>
      </c>
      <c r="E2189" s="8">
        <v>10.0</v>
      </c>
      <c r="F2189" s="4" t="str">
        <f t="shared" si="1"/>
        <v>500 &amp; Below</v>
      </c>
    </row>
    <row r="2190" ht="15.75" customHeight="1">
      <c r="A2190" s="4" t="s">
        <v>55</v>
      </c>
      <c r="B2190" s="7">
        <v>46045.0</v>
      </c>
      <c r="C2190" s="4" t="s">
        <v>747</v>
      </c>
      <c r="D2190" s="4" t="s">
        <v>867</v>
      </c>
      <c r="E2190" s="8">
        <v>194.0</v>
      </c>
      <c r="F2190" s="4" t="str">
        <f t="shared" si="1"/>
        <v>500 &amp; Below</v>
      </c>
    </row>
    <row r="2191" ht="15.75" customHeight="1">
      <c r="A2191" s="4" t="s">
        <v>55</v>
      </c>
      <c r="B2191" s="7">
        <v>46045.0</v>
      </c>
      <c r="C2191" s="4" t="s">
        <v>747</v>
      </c>
      <c r="D2191" s="4" t="s">
        <v>39</v>
      </c>
      <c r="E2191" s="8">
        <v>10.0</v>
      </c>
      <c r="F2191" s="4" t="str">
        <f t="shared" si="1"/>
        <v>500 &amp; Below</v>
      </c>
    </row>
    <row r="2192" ht="15.75" customHeight="1">
      <c r="A2192" s="4" t="s">
        <v>55</v>
      </c>
      <c r="B2192" s="7">
        <v>46045.0</v>
      </c>
      <c r="C2192" s="4" t="s">
        <v>747</v>
      </c>
      <c r="D2192" s="4" t="s">
        <v>107</v>
      </c>
      <c r="E2192" s="8">
        <v>10.0</v>
      </c>
      <c r="F2192" s="4" t="str">
        <f t="shared" si="1"/>
        <v>500 &amp; Below</v>
      </c>
    </row>
    <row r="2193" ht="15.75" customHeight="1">
      <c r="A2193" s="4" t="s">
        <v>55</v>
      </c>
      <c r="B2193" s="7">
        <v>46045.0</v>
      </c>
      <c r="C2193" s="4" t="s">
        <v>747</v>
      </c>
      <c r="D2193" s="4" t="s">
        <v>2370</v>
      </c>
      <c r="E2193" s="8">
        <v>999.0</v>
      </c>
      <c r="F2193" s="4" t="str">
        <f t="shared" si="1"/>
        <v>Above 500</v>
      </c>
    </row>
    <row r="2194" ht="15.75" customHeight="1">
      <c r="A2194" s="4" t="s">
        <v>55</v>
      </c>
      <c r="B2194" s="7">
        <v>46045.0</v>
      </c>
      <c r="C2194" s="4" t="s">
        <v>747</v>
      </c>
      <c r="D2194" s="4" t="s">
        <v>2357</v>
      </c>
      <c r="E2194" s="8">
        <v>305.0</v>
      </c>
      <c r="F2194" s="4" t="str">
        <f t="shared" si="1"/>
        <v>500 &amp; Below</v>
      </c>
    </row>
    <row r="2195" ht="15.75" customHeight="1">
      <c r="A2195" s="4" t="s">
        <v>55</v>
      </c>
      <c r="B2195" s="7">
        <v>46045.0</v>
      </c>
      <c r="C2195" s="4" t="s">
        <v>747</v>
      </c>
      <c r="D2195" s="4" t="s">
        <v>112</v>
      </c>
      <c r="E2195" s="8">
        <v>20.0</v>
      </c>
      <c r="F2195" s="4" t="str">
        <f t="shared" si="1"/>
        <v>500 &amp; Below</v>
      </c>
    </row>
    <row r="2196" ht="15.75" customHeight="1">
      <c r="A2196" s="4" t="s">
        <v>55</v>
      </c>
      <c r="B2196" s="7">
        <v>46046.0</v>
      </c>
      <c r="C2196" s="4" t="s">
        <v>747</v>
      </c>
      <c r="D2196" s="4" t="s">
        <v>40</v>
      </c>
      <c r="E2196" s="8">
        <v>40.0</v>
      </c>
      <c r="F2196" s="4" t="str">
        <f t="shared" si="1"/>
        <v>500 &amp; Below</v>
      </c>
    </row>
    <row r="2197" ht="15.75" customHeight="1">
      <c r="A2197" s="4" t="s">
        <v>55</v>
      </c>
      <c r="B2197" s="7">
        <v>46046.0</v>
      </c>
      <c r="C2197" s="4" t="s">
        <v>747</v>
      </c>
      <c r="D2197" s="4" t="s">
        <v>112</v>
      </c>
      <c r="E2197" s="8">
        <v>20.0</v>
      </c>
      <c r="F2197" s="4" t="str">
        <f t="shared" si="1"/>
        <v>500 &amp; Below</v>
      </c>
    </row>
    <row r="2198" ht="15.75" customHeight="1">
      <c r="A2198" s="4" t="s">
        <v>55</v>
      </c>
      <c r="B2198" s="7">
        <v>46046.0</v>
      </c>
      <c r="C2198" s="4" t="s">
        <v>747</v>
      </c>
      <c r="D2198" s="4" t="s">
        <v>117</v>
      </c>
      <c r="E2198" s="8">
        <v>50.0</v>
      </c>
      <c r="F2198" s="4" t="str">
        <f t="shared" si="1"/>
        <v>500 &amp; Below</v>
      </c>
    </row>
    <row r="2199" ht="15.75" customHeight="1">
      <c r="A2199" s="4" t="s">
        <v>55</v>
      </c>
      <c r="B2199" s="7">
        <v>46047.0</v>
      </c>
      <c r="C2199" s="4" t="s">
        <v>747</v>
      </c>
      <c r="D2199" s="4" t="s">
        <v>107</v>
      </c>
      <c r="E2199" s="8">
        <v>10.0</v>
      </c>
      <c r="F2199" s="4" t="str">
        <f t="shared" si="1"/>
        <v>500 &amp; Below</v>
      </c>
    </row>
    <row r="2200" ht="15.75" customHeight="1">
      <c r="A2200" s="4" t="s">
        <v>55</v>
      </c>
      <c r="B2200" s="7">
        <v>46047.0</v>
      </c>
      <c r="C2200" s="4" t="s">
        <v>747</v>
      </c>
      <c r="D2200" s="4" t="s">
        <v>117</v>
      </c>
      <c r="E2200" s="8">
        <v>65.0</v>
      </c>
      <c r="F2200" s="4" t="str">
        <f t="shared" si="1"/>
        <v>500 &amp; Below</v>
      </c>
    </row>
    <row r="2201" ht="15.75" customHeight="1">
      <c r="A2201" s="4" t="s">
        <v>55</v>
      </c>
      <c r="B2201" s="7">
        <v>46047.0</v>
      </c>
      <c r="C2201" s="4" t="s">
        <v>747</v>
      </c>
      <c r="D2201" s="4" t="s">
        <v>3476</v>
      </c>
      <c r="E2201" s="8">
        <v>280.0</v>
      </c>
      <c r="F2201" s="4" t="str">
        <f t="shared" si="1"/>
        <v>500 &amp; Below</v>
      </c>
    </row>
    <row r="2202" ht="15.75" customHeight="1">
      <c r="A2202" s="4" t="s">
        <v>55</v>
      </c>
      <c r="B2202" s="7">
        <v>46048.0</v>
      </c>
      <c r="C2202" s="4" t="s">
        <v>747</v>
      </c>
      <c r="D2202" s="4" t="s">
        <v>3477</v>
      </c>
      <c r="E2202" s="8">
        <v>20.0</v>
      </c>
      <c r="F2202" s="4" t="str">
        <f t="shared" si="1"/>
        <v>500 &amp; Below</v>
      </c>
    </row>
    <row r="2203" ht="15.75" customHeight="1">
      <c r="A2203" s="4" t="s">
        <v>55</v>
      </c>
      <c r="B2203" s="7">
        <v>46049.0</v>
      </c>
      <c r="C2203" s="4" t="s">
        <v>747</v>
      </c>
      <c r="D2203" s="4" t="s">
        <v>37</v>
      </c>
      <c r="E2203" s="8">
        <v>319.0</v>
      </c>
      <c r="F2203" s="4" t="str">
        <f t="shared" si="1"/>
        <v>500 &amp; Below</v>
      </c>
    </row>
    <row r="2204" ht="15.75" customHeight="1">
      <c r="A2204" s="4" t="s">
        <v>55</v>
      </c>
      <c r="B2204" s="7">
        <v>46049.0</v>
      </c>
      <c r="C2204" s="4" t="s">
        <v>747</v>
      </c>
      <c r="D2204" s="4" t="s">
        <v>3465</v>
      </c>
      <c r="E2204" s="8">
        <v>20.0</v>
      </c>
      <c r="F2204" s="4" t="str">
        <f t="shared" si="1"/>
        <v>500 &amp; Below</v>
      </c>
    </row>
    <row r="2205" ht="15.75" customHeight="1">
      <c r="A2205" s="4" t="s">
        <v>55</v>
      </c>
      <c r="B2205" s="7">
        <v>46050.0</v>
      </c>
      <c r="C2205" s="4" t="s">
        <v>747</v>
      </c>
      <c r="D2205" s="4" t="s">
        <v>3310</v>
      </c>
      <c r="E2205" s="8">
        <v>80.0</v>
      </c>
      <c r="F2205" s="4" t="str">
        <f t="shared" si="1"/>
        <v>500 &amp; Below</v>
      </c>
    </row>
    <row r="2206" ht="15.75" customHeight="1">
      <c r="A2206" s="4" t="s">
        <v>55</v>
      </c>
      <c r="B2206" s="7">
        <v>46050.0</v>
      </c>
      <c r="C2206" s="4" t="s">
        <v>747</v>
      </c>
      <c r="D2206" s="4" t="s">
        <v>928</v>
      </c>
      <c r="E2206" s="8">
        <v>113.0</v>
      </c>
      <c r="F2206" s="4" t="str">
        <f t="shared" si="1"/>
        <v>500 &amp; Below</v>
      </c>
    </row>
    <row r="2207" ht="15.75" customHeight="1">
      <c r="A2207" s="4" t="s">
        <v>55</v>
      </c>
      <c r="B2207" s="7">
        <v>46051.0</v>
      </c>
      <c r="C2207" s="4" t="s">
        <v>747</v>
      </c>
      <c r="D2207" s="4" t="s">
        <v>3275</v>
      </c>
      <c r="E2207" s="8">
        <v>154.0</v>
      </c>
      <c r="F2207" s="4" t="str">
        <f t="shared" si="1"/>
        <v>500 &amp; Below</v>
      </c>
    </row>
    <row r="2208" ht="15.75" customHeight="1">
      <c r="A2208" s="4" t="s">
        <v>55</v>
      </c>
      <c r="B2208" s="7">
        <v>46051.0</v>
      </c>
      <c r="C2208" s="4" t="s">
        <v>747</v>
      </c>
      <c r="D2208" s="4" t="s">
        <v>112</v>
      </c>
      <c r="E2208" s="8">
        <v>10.0</v>
      </c>
      <c r="F2208" s="4" t="str">
        <f t="shared" si="1"/>
        <v>500 &amp; Below</v>
      </c>
    </row>
    <row r="2209" ht="15.75" customHeight="1">
      <c r="A2209" s="4" t="s">
        <v>55</v>
      </c>
      <c r="B2209" s="7">
        <v>46051.0</v>
      </c>
      <c r="C2209" s="4" t="s">
        <v>747</v>
      </c>
      <c r="D2209" s="4" t="s">
        <v>46</v>
      </c>
      <c r="E2209" s="8">
        <v>197.0</v>
      </c>
      <c r="F2209" s="4" t="str">
        <f t="shared" si="1"/>
        <v>500 &amp; Below</v>
      </c>
    </row>
    <row r="2210" ht="15.75" customHeight="1">
      <c r="A2210" s="4" t="s">
        <v>55</v>
      </c>
      <c r="B2210" s="7">
        <v>46053.0</v>
      </c>
      <c r="C2210" s="4" t="s">
        <v>747</v>
      </c>
      <c r="D2210" s="4" t="s">
        <v>2357</v>
      </c>
      <c r="E2210" s="8">
        <v>305.0</v>
      </c>
      <c r="F2210" s="4" t="str">
        <f t="shared" si="1"/>
        <v>500 &amp; Below</v>
      </c>
    </row>
    <row r="2211" ht="15.75" customHeight="1">
      <c r="A2211" s="4" t="s">
        <v>55</v>
      </c>
      <c r="B2211" s="7">
        <v>46053.0</v>
      </c>
      <c r="C2211" s="4" t="s">
        <v>747</v>
      </c>
      <c r="D2211" s="4" t="s">
        <v>47</v>
      </c>
      <c r="E2211" s="8">
        <v>45.0</v>
      </c>
      <c r="F2211" s="4" t="str">
        <f t="shared" si="1"/>
        <v>500 &amp; Below</v>
      </c>
    </row>
    <row r="2212" ht="15.75" customHeight="1">
      <c r="A2212" s="4" t="s">
        <v>55</v>
      </c>
      <c r="B2212" s="7">
        <v>46053.0</v>
      </c>
      <c r="C2212" s="4" t="s">
        <v>747</v>
      </c>
      <c r="D2212" s="4" t="s">
        <v>1392</v>
      </c>
      <c r="E2212" s="8">
        <v>195.0</v>
      </c>
      <c r="F2212" s="4" t="str">
        <f t="shared" si="1"/>
        <v>500 &amp; Below</v>
      </c>
    </row>
    <row r="2213" ht="15.75" customHeight="1">
      <c r="A2213" s="4" t="s">
        <v>55</v>
      </c>
      <c r="B2213" s="7">
        <v>46054.0</v>
      </c>
      <c r="C2213" s="4" t="s">
        <v>797</v>
      </c>
      <c r="D2213" s="4" t="s">
        <v>3250</v>
      </c>
      <c r="E2213" s="8">
        <v>210.0</v>
      </c>
      <c r="F2213" s="4" t="str">
        <f t="shared" si="1"/>
        <v>500 &amp; Below</v>
      </c>
    </row>
    <row r="2214" ht="15.75" customHeight="1">
      <c r="A2214" s="4" t="s">
        <v>55</v>
      </c>
      <c r="B2214" s="7">
        <v>46054.0</v>
      </c>
      <c r="C2214" s="4" t="s">
        <v>797</v>
      </c>
      <c r="D2214" s="4" t="s">
        <v>107</v>
      </c>
      <c r="E2214" s="8">
        <v>10.0</v>
      </c>
      <c r="F2214" s="4" t="str">
        <f t="shared" si="1"/>
        <v>500 &amp; Below</v>
      </c>
    </row>
    <row r="2215" ht="15.75" customHeight="1">
      <c r="A2215" s="4" t="s">
        <v>55</v>
      </c>
      <c r="B2215" s="7">
        <v>46054.0</v>
      </c>
      <c r="C2215" s="4" t="s">
        <v>797</v>
      </c>
      <c r="D2215" s="4" t="s">
        <v>3478</v>
      </c>
      <c r="E2215" s="8">
        <v>20.0</v>
      </c>
      <c r="F2215" s="4" t="str">
        <f t="shared" si="1"/>
        <v>500 &amp; Below</v>
      </c>
    </row>
    <row r="2216" ht="15.75" customHeight="1">
      <c r="A2216" s="4" t="s">
        <v>55</v>
      </c>
      <c r="B2216" s="7">
        <v>46055.0</v>
      </c>
      <c r="C2216" s="4" t="s">
        <v>797</v>
      </c>
      <c r="D2216" s="4" t="s">
        <v>3218</v>
      </c>
      <c r="E2216" s="8">
        <v>228.0</v>
      </c>
      <c r="F2216" s="4" t="str">
        <f t="shared" si="1"/>
        <v>500 &amp; Below</v>
      </c>
    </row>
    <row r="2217" ht="15.75" customHeight="1">
      <c r="A2217" s="4" t="s">
        <v>55</v>
      </c>
      <c r="B2217" s="7">
        <v>46055.0</v>
      </c>
      <c r="C2217" s="4" t="s">
        <v>797</v>
      </c>
      <c r="D2217" s="4" t="s">
        <v>3479</v>
      </c>
      <c r="E2217" s="8">
        <v>1167.0</v>
      </c>
      <c r="F2217" s="4" t="str">
        <f t="shared" si="1"/>
        <v>Above 500</v>
      </c>
    </row>
    <row r="2218" ht="15.75" customHeight="1">
      <c r="A2218" s="4" t="s">
        <v>55</v>
      </c>
      <c r="B2218" s="7">
        <v>46055.0</v>
      </c>
      <c r="C2218" s="4" t="s">
        <v>797</v>
      </c>
      <c r="D2218" s="4" t="s">
        <v>3290</v>
      </c>
      <c r="E2218" s="8">
        <v>200.0</v>
      </c>
      <c r="F2218" s="4" t="str">
        <f t="shared" si="1"/>
        <v>500 &amp; Below</v>
      </c>
    </row>
    <row r="2219" ht="15.75" customHeight="1">
      <c r="A2219" s="4" t="s">
        <v>55</v>
      </c>
      <c r="B2219" s="7">
        <v>46055.0</v>
      </c>
      <c r="C2219" s="4" t="s">
        <v>797</v>
      </c>
      <c r="D2219" s="4" t="s">
        <v>98</v>
      </c>
      <c r="E2219" s="8">
        <v>40.0</v>
      </c>
      <c r="F2219" s="4" t="str">
        <f t="shared" si="1"/>
        <v>500 &amp; Below</v>
      </c>
    </row>
    <row r="2220" ht="15.75" customHeight="1">
      <c r="A2220" s="4" t="s">
        <v>55</v>
      </c>
      <c r="B2220" s="7">
        <v>46055.0</v>
      </c>
      <c r="C2220" s="4" t="s">
        <v>797</v>
      </c>
      <c r="D2220" s="4" t="s">
        <v>47</v>
      </c>
      <c r="E2220" s="8">
        <v>45.0</v>
      </c>
      <c r="F2220" s="4" t="str">
        <f t="shared" si="1"/>
        <v>500 &amp; Below</v>
      </c>
    </row>
    <row r="2221" ht="15.75" customHeight="1">
      <c r="A2221" s="4" t="s">
        <v>55</v>
      </c>
      <c r="B2221" s="7">
        <v>46056.0</v>
      </c>
      <c r="C2221" s="4" t="s">
        <v>797</v>
      </c>
      <c r="D2221" s="4" t="s">
        <v>113</v>
      </c>
      <c r="E2221" s="8">
        <v>40.0</v>
      </c>
      <c r="F2221" s="4" t="str">
        <f t="shared" si="1"/>
        <v>500 &amp; Below</v>
      </c>
    </row>
    <row r="2222" ht="15.75" customHeight="1">
      <c r="A2222" s="4" t="s">
        <v>55</v>
      </c>
      <c r="B2222" s="7">
        <v>46056.0</v>
      </c>
      <c r="C2222" s="4" t="s">
        <v>797</v>
      </c>
      <c r="D2222" s="4" t="s">
        <v>18</v>
      </c>
      <c r="E2222" s="8">
        <v>96.04</v>
      </c>
      <c r="F2222" s="4" t="str">
        <f t="shared" si="1"/>
        <v>500 &amp; Below</v>
      </c>
    </row>
    <row r="2223" ht="15.75" customHeight="1">
      <c r="A2223" s="4" t="s">
        <v>55</v>
      </c>
      <c r="B2223" s="7">
        <v>46057.0</v>
      </c>
      <c r="C2223" s="4" t="s">
        <v>797</v>
      </c>
      <c r="D2223" s="4" t="s">
        <v>107</v>
      </c>
      <c r="E2223" s="8">
        <v>10.0</v>
      </c>
      <c r="F2223" s="4" t="str">
        <f t="shared" si="1"/>
        <v>500 &amp; Below</v>
      </c>
    </row>
    <row r="2224" ht="15.75" customHeight="1">
      <c r="A2224" s="4" t="s">
        <v>55</v>
      </c>
      <c r="B2224" s="7">
        <v>46057.0</v>
      </c>
      <c r="C2224" s="4" t="s">
        <v>797</v>
      </c>
      <c r="D2224" s="4" t="s">
        <v>24</v>
      </c>
      <c r="E2224" s="8">
        <v>30.0</v>
      </c>
      <c r="F2224" s="4" t="str">
        <f t="shared" si="1"/>
        <v>500 &amp; Below</v>
      </c>
    </row>
    <row r="2225" ht="15.75" customHeight="1">
      <c r="A2225" s="4" t="s">
        <v>55</v>
      </c>
      <c r="B2225" s="7">
        <v>46057.0</v>
      </c>
      <c r="C2225" s="4" t="s">
        <v>797</v>
      </c>
      <c r="D2225" s="4" t="s">
        <v>3478</v>
      </c>
      <c r="E2225" s="8">
        <v>20.0</v>
      </c>
      <c r="F2225" s="4" t="str">
        <f t="shared" si="1"/>
        <v>500 &amp; Below</v>
      </c>
    </row>
    <row r="2226" ht="15.75" customHeight="1">
      <c r="A2226" s="4" t="s">
        <v>55</v>
      </c>
      <c r="B2226" s="7">
        <v>46058.0</v>
      </c>
      <c r="C2226" s="4" t="s">
        <v>797</v>
      </c>
      <c r="D2226" s="4" t="s">
        <v>3218</v>
      </c>
      <c r="E2226" s="8">
        <v>91.4</v>
      </c>
      <c r="F2226" s="4" t="str">
        <f t="shared" si="1"/>
        <v>500 &amp; Below</v>
      </c>
    </row>
    <row r="2227" ht="15.75" customHeight="1">
      <c r="A2227" s="4" t="s">
        <v>55</v>
      </c>
      <c r="B2227" s="7">
        <v>46058.0</v>
      </c>
      <c r="C2227" s="4" t="s">
        <v>797</v>
      </c>
      <c r="D2227" s="4" t="s">
        <v>33</v>
      </c>
      <c r="E2227" s="8">
        <v>145.0</v>
      </c>
      <c r="F2227" s="4" t="str">
        <f t="shared" si="1"/>
        <v>500 &amp; Below</v>
      </c>
    </row>
    <row r="2228" ht="15.75" customHeight="1">
      <c r="A2228" s="4" t="s">
        <v>55</v>
      </c>
      <c r="B2228" s="7">
        <v>46058.0</v>
      </c>
      <c r="C2228" s="4" t="s">
        <v>797</v>
      </c>
      <c r="D2228" s="4" t="s">
        <v>3478</v>
      </c>
      <c r="E2228" s="8">
        <v>30.0</v>
      </c>
      <c r="F2228" s="4" t="str">
        <f t="shared" si="1"/>
        <v>500 &amp; Below</v>
      </c>
    </row>
    <row r="2229" ht="15.75" customHeight="1">
      <c r="A2229" s="4" t="s">
        <v>55</v>
      </c>
      <c r="B2229" s="7">
        <v>46058.0</v>
      </c>
      <c r="C2229" s="4" t="s">
        <v>797</v>
      </c>
      <c r="D2229" s="4" t="s">
        <v>112</v>
      </c>
      <c r="E2229" s="8">
        <v>20.0</v>
      </c>
      <c r="F2229" s="4" t="str">
        <f t="shared" si="1"/>
        <v>500 &amp; Below</v>
      </c>
    </row>
    <row r="2230" ht="15.75" customHeight="1">
      <c r="A2230" s="4" t="s">
        <v>55</v>
      </c>
      <c r="B2230" s="7">
        <v>46059.0</v>
      </c>
      <c r="C2230" s="4" t="s">
        <v>797</v>
      </c>
      <c r="D2230" s="4" t="s">
        <v>1497</v>
      </c>
      <c r="E2230" s="8">
        <v>150.0</v>
      </c>
      <c r="F2230" s="4" t="str">
        <f t="shared" si="1"/>
        <v>500 &amp; Below</v>
      </c>
    </row>
    <row r="2231" ht="15.75" customHeight="1">
      <c r="A2231" s="4" t="s">
        <v>55</v>
      </c>
      <c r="B2231" s="7">
        <v>46059.0</v>
      </c>
      <c r="C2231" s="4" t="s">
        <v>797</v>
      </c>
      <c r="D2231" s="4" t="s">
        <v>108</v>
      </c>
      <c r="E2231" s="8">
        <v>50.0</v>
      </c>
      <c r="F2231" s="4" t="str">
        <f t="shared" si="1"/>
        <v>500 &amp; Below</v>
      </c>
    </row>
    <row r="2232" ht="15.75" customHeight="1">
      <c r="A2232" s="4" t="s">
        <v>55</v>
      </c>
      <c r="B2232" s="7">
        <v>46059.0</v>
      </c>
      <c r="C2232" s="4" t="s">
        <v>797</v>
      </c>
      <c r="D2232" s="4" t="s">
        <v>3480</v>
      </c>
      <c r="E2232" s="8">
        <v>984.95</v>
      </c>
      <c r="F2232" s="4" t="str">
        <f t="shared" si="1"/>
        <v>Above 500</v>
      </c>
    </row>
    <row r="2233" ht="15.75" customHeight="1">
      <c r="A2233" s="4" t="s">
        <v>55</v>
      </c>
      <c r="B2233" s="7">
        <v>46060.0</v>
      </c>
      <c r="C2233" s="4" t="s">
        <v>797</v>
      </c>
      <c r="D2233" s="4" t="s">
        <v>3275</v>
      </c>
      <c r="E2233" s="8">
        <v>372.0</v>
      </c>
      <c r="F2233" s="4" t="str">
        <f t="shared" si="1"/>
        <v>500 &amp; Below</v>
      </c>
    </row>
    <row r="2234" ht="15.75" customHeight="1">
      <c r="A2234" s="4" t="s">
        <v>55</v>
      </c>
      <c r="B2234" s="7">
        <v>46060.0</v>
      </c>
      <c r="C2234" s="4" t="s">
        <v>797</v>
      </c>
      <c r="D2234" s="4" t="s">
        <v>103</v>
      </c>
      <c r="E2234" s="8">
        <v>690.0</v>
      </c>
      <c r="F2234" s="4" t="str">
        <f t="shared" si="1"/>
        <v>Above 500</v>
      </c>
    </row>
    <row r="2235" ht="15.75" customHeight="1">
      <c r="A2235" s="4" t="s">
        <v>55</v>
      </c>
      <c r="B2235" s="7">
        <v>46060.0</v>
      </c>
      <c r="C2235" s="4" t="s">
        <v>797</v>
      </c>
      <c r="D2235" s="4" t="s">
        <v>24</v>
      </c>
      <c r="E2235" s="8">
        <v>30.0</v>
      </c>
      <c r="F2235" s="4" t="str">
        <f t="shared" si="1"/>
        <v>500 &amp; Below</v>
      </c>
    </row>
    <row r="2236" ht="15.75" customHeight="1">
      <c r="A2236" s="4" t="s">
        <v>55</v>
      </c>
      <c r="B2236" s="7">
        <v>46060.0</v>
      </c>
      <c r="C2236" s="4" t="s">
        <v>797</v>
      </c>
      <c r="D2236" s="4" t="s">
        <v>3478</v>
      </c>
      <c r="E2236" s="8">
        <v>10.0</v>
      </c>
      <c r="F2236" s="4" t="str">
        <f t="shared" si="1"/>
        <v>500 &amp; Below</v>
      </c>
    </row>
    <row r="2237" ht="15.75" customHeight="1">
      <c r="A2237" s="4" t="s">
        <v>55</v>
      </c>
      <c r="B2237" s="7">
        <v>46061.0</v>
      </c>
      <c r="C2237" s="4" t="s">
        <v>797</v>
      </c>
      <c r="D2237" s="4" t="s">
        <v>3312</v>
      </c>
      <c r="E2237" s="8">
        <v>100.0</v>
      </c>
      <c r="F2237" s="4" t="str">
        <f t="shared" si="1"/>
        <v>500 &amp; Below</v>
      </c>
    </row>
    <row r="2238" ht="15.75" customHeight="1">
      <c r="A2238" s="4" t="s">
        <v>55</v>
      </c>
      <c r="B2238" s="7">
        <v>46061.0</v>
      </c>
      <c r="C2238" s="4" t="s">
        <v>797</v>
      </c>
      <c r="D2238" s="4" t="s">
        <v>3313</v>
      </c>
      <c r="E2238" s="8">
        <v>130.0</v>
      </c>
      <c r="F2238" s="4" t="str">
        <f t="shared" si="1"/>
        <v>500 &amp; Below</v>
      </c>
    </row>
    <row r="2239" ht="15.75" customHeight="1">
      <c r="A2239" s="4" t="s">
        <v>55</v>
      </c>
      <c r="B2239" s="7">
        <v>46062.0</v>
      </c>
      <c r="C2239" s="4" t="s">
        <v>797</v>
      </c>
      <c r="D2239" s="4" t="s">
        <v>1261</v>
      </c>
      <c r="E2239" s="8">
        <v>40.0</v>
      </c>
      <c r="F2239" s="4" t="str">
        <f t="shared" si="1"/>
        <v>500 &amp; Below</v>
      </c>
    </row>
    <row r="2240" ht="15.75" customHeight="1">
      <c r="A2240" s="4" t="s">
        <v>55</v>
      </c>
      <c r="B2240" s="7">
        <v>46062.0</v>
      </c>
      <c r="C2240" s="4" t="s">
        <v>797</v>
      </c>
      <c r="D2240" s="4" t="s">
        <v>107</v>
      </c>
      <c r="E2240" s="8">
        <v>40.0</v>
      </c>
      <c r="F2240" s="4" t="str">
        <f t="shared" si="1"/>
        <v>500 &amp; Below</v>
      </c>
    </row>
    <row r="2241" ht="15.75" customHeight="1">
      <c r="A2241" s="4" t="s">
        <v>55</v>
      </c>
      <c r="B2241" s="7">
        <v>46063.0</v>
      </c>
      <c r="C2241" s="4" t="s">
        <v>797</v>
      </c>
      <c r="D2241" s="4" t="s">
        <v>3478</v>
      </c>
      <c r="E2241" s="8">
        <v>10.0</v>
      </c>
      <c r="F2241" s="4" t="str">
        <f t="shared" si="1"/>
        <v>500 &amp; Below</v>
      </c>
    </row>
    <row r="2242" ht="15.75" customHeight="1">
      <c r="A2242" s="4" t="s">
        <v>55</v>
      </c>
      <c r="B2242" s="7">
        <v>46063.0</v>
      </c>
      <c r="C2242" s="4" t="s">
        <v>797</v>
      </c>
      <c r="D2242" s="4" t="s">
        <v>97</v>
      </c>
      <c r="E2242" s="8">
        <v>330.0</v>
      </c>
      <c r="F2242" s="4" t="str">
        <f t="shared" si="1"/>
        <v>500 &amp; Below</v>
      </c>
    </row>
    <row r="2243" ht="15.75" customHeight="1">
      <c r="A2243" s="4" t="s">
        <v>55</v>
      </c>
      <c r="B2243" s="7">
        <v>46063.0</v>
      </c>
      <c r="C2243" s="4" t="s">
        <v>797</v>
      </c>
      <c r="D2243" s="4" t="s">
        <v>3481</v>
      </c>
      <c r="E2243" s="8">
        <v>120.0</v>
      </c>
      <c r="F2243" s="4" t="str">
        <f t="shared" si="1"/>
        <v>500 &amp; Below</v>
      </c>
    </row>
    <row r="2244" ht="15.75" customHeight="1">
      <c r="A2244" s="4" t="s">
        <v>55</v>
      </c>
      <c r="B2244" s="7">
        <v>46063.0</v>
      </c>
      <c r="C2244" s="4" t="s">
        <v>797</v>
      </c>
      <c r="D2244" s="4" t="s">
        <v>3482</v>
      </c>
      <c r="E2244" s="8">
        <v>10.0</v>
      </c>
      <c r="F2244" s="4" t="str">
        <f t="shared" si="1"/>
        <v>500 &amp; Below</v>
      </c>
    </row>
    <row r="2245" ht="15.75" customHeight="1">
      <c r="A2245" s="4" t="s">
        <v>55</v>
      </c>
      <c r="B2245" s="7">
        <v>46063.0</v>
      </c>
      <c r="C2245" s="4" t="s">
        <v>797</v>
      </c>
      <c r="D2245" s="4" t="s">
        <v>3482</v>
      </c>
      <c r="E2245" s="8">
        <v>20.0</v>
      </c>
      <c r="F2245" s="4" t="str">
        <f t="shared" si="1"/>
        <v>500 &amp; Below</v>
      </c>
    </row>
    <row r="2246" ht="15.75" customHeight="1">
      <c r="A2246" s="4" t="s">
        <v>55</v>
      </c>
      <c r="B2246" s="7">
        <v>46064.0</v>
      </c>
      <c r="C2246" s="4" t="s">
        <v>797</v>
      </c>
      <c r="D2246" s="4" t="s">
        <v>3482</v>
      </c>
      <c r="E2246" s="8">
        <v>10.0</v>
      </c>
      <c r="F2246" s="4" t="str">
        <f t="shared" si="1"/>
        <v>500 &amp; Below</v>
      </c>
    </row>
    <row r="2247" ht="15.75" customHeight="1">
      <c r="A2247" s="4" t="s">
        <v>55</v>
      </c>
      <c r="B2247" s="7">
        <v>46064.0</v>
      </c>
      <c r="C2247" s="4" t="s">
        <v>797</v>
      </c>
      <c r="D2247" s="4" t="s">
        <v>3482</v>
      </c>
      <c r="E2247" s="8">
        <v>20.0</v>
      </c>
      <c r="F2247" s="4" t="str">
        <f t="shared" si="1"/>
        <v>500 &amp; Below</v>
      </c>
    </row>
    <row r="2248" ht="15.75" customHeight="1">
      <c r="A2248" s="4" t="s">
        <v>55</v>
      </c>
      <c r="B2248" s="7">
        <v>46065.0</v>
      </c>
      <c r="C2248" s="4" t="s">
        <v>797</v>
      </c>
      <c r="D2248" s="4" t="s">
        <v>36</v>
      </c>
      <c r="E2248" s="8">
        <v>1342.0</v>
      </c>
      <c r="F2248" s="4" t="str">
        <f t="shared" si="1"/>
        <v>Above 500</v>
      </c>
    </row>
    <row r="2249" ht="15.75" customHeight="1">
      <c r="A2249" s="4" t="s">
        <v>55</v>
      </c>
      <c r="B2249" s="7">
        <v>46065.0</v>
      </c>
      <c r="C2249" s="4" t="s">
        <v>797</v>
      </c>
      <c r="D2249" s="4" t="s">
        <v>36</v>
      </c>
      <c r="E2249" s="8">
        <v>927.0</v>
      </c>
      <c r="F2249" s="4" t="str">
        <f t="shared" si="1"/>
        <v>Above 500</v>
      </c>
    </row>
    <row r="2250" ht="15.75" customHeight="1">
      <c r="A2250" s="4" t="s">
        <v>55</v>
      </c>
      <c r="B2250" s="7">
        <v>46065.0</v>
      </c>
      <c r="C2250" s="4" t="s">
        <v>797</v>
      </c>
      <c r="D2250" s="4" t="s">
        <v>48</v>
      </c>
      <c r="E2250" s="8">
        <v>314.0</v>
      </c>
      <c r="F2250" s="4" t="str">
        <f t="shared" si="1"/>
        <v>500 &amp; Below</v>
      </c>
    </row>
    <row r="2251" ht="15.75" customHeight="1">
      <c r="A2251" s="4" t="s">
        <v>55</v>
      </c>
      <c r="B2251" s="7">
        <v>46065.0</v>
      </c>
      <c r="C2251" s="4" t="s">
        <v>797</v>
      </c>
      <c r="D2251" s="4" t="s">
        <v>112</v>
      </c>
      <c r="E2251" s="8">
        <v>20.0</v>
      </c>
      <c r="F2251" s="4" t="str">
        <f t="shared" si="1"/>
        <v>500 &amp; Below</v>
      </c>
    </row>
    <row r="2252" ht="15.75" customHeight="1">
      <c r="A2252" s="4" t="s">
        <v>55</v>
      </c>
      <c r="B2252" s="7">
        <v>46065.0</v>
      </c>
      <c r="C2252" s="4" t="s">
        <v>797</v>
      </c>
      <c r="D2252" s="4" t="s">
        <v>52</v>
      </c>
      <c r="E2252" s="8">
        <v>1175.0</v>
      </c>
      <c r="F2252" s="4" t="str">
        <f t="shared" si="1"/>
        <v>Above 500</v>
      </c>
    </row>
    <row r="2253" ht="15.75" customHeight="1">
      <c r="A2253" s="4" t="s">
        <v>55</v>
      </c>
      <c r="B2253" s="7">
        <v>46065.0</v>
      </c>
      <c r="C2253" s="4" t="s">
        <v>797</v>
      </c>
      <c r="D2253" s="4" t="s">
        <v>2825</v>
      </c>
      <c r="E2253" s="8">
        <v>100.0</v>
      </c>
      <c r="F2253" s="4" t="str">
        <f t="shared" si="1"/>
        <v>500 &amp; Below</v>
      </c>
    </row>
    <row r="2254" ht="15.75" customHeight="1">
      <c r="A2254" s="4" t="s">
        <v>55</v>
      </c>
      <c r="B2254" s="7">
        <v>46066.0</v>
      </c>
      <c r="C2254" s="4" t="s">
        <v>797</v>
      </c>
      <c r="D2254" s="4" t="s">
        <v>36</v>
      </c>
      <c r="E2254" s="8">
        <v>2517.0</v>
      </c>
      <c r="F2254" s="4" t="str">
        <f t="shared" si="1"/>
        <v>Above 500</v>
      </c>
    </row>
    <row r="2255" ht="15.75" customHeight="1">
      <c r="A2255" s="4" t="s">
        <v>55</v>
      </c>
      <c r="B2255" s="7">
        <v>46066.0</v>
      </c>
      <c r="C2255" s="4" t="s">
        <v>797</v>
      </c>
      <c r="D2255" s="4" t="s">
        <v>2357</v>
      </c>
      <c r="E2255" s="8">
        <v>305.0</v>
      </c>
      <c r="F2255" s="4" t="str">
        <f t="shared" si="1"/>
        <v>500 &amp; Below</v>
      </c>
    </row>
    <row r="2256" ht="15.75" customHeight="1">
      <c r="A2256" s="4" t="s">
        <v>55</v>
      </c>
      <c r="B2256" s="7">
        <v>46066.0</v>
      </c>
      <c r="C2256" s="4" t="s">
        <v>797</v>
      </c>
      <c r="D2256" s="4" t="s">
        <v>3483</v>
      </c>
      <c r="E2256" s="8">
        <v>316.0</v>
      </c>
      <c r="F2256" s="4" t="str">
        <f t="shared" si="1"/>
        <v>500 &amp; Below</v>
      </c>
    </row>
    <row r="2257" ht="15.75" customHeight="1">
      <c r="A2257" s="4" t="s">
        <v>55</v>
      </c>
      <c r="B2257" s="7">
        <v>46066.0</v>
      </c>
      <c r="C2257" s="4" t="s">
        <v>797</v>
      </c>
      <c r="D2257" s="4" t="s">
        <v>3478</v>
      </c>
      <c r="E2257" s="8">
        <v>20.0</v>
      </c>
      <c r="F2257" s="4" t="str">
        <f t="shared" si="1"/>
        <v>500 &amp; Below</v>
      </c>
    </row>
    <row r="2258" ht="15.75" customHeight="1">
      <c r="A2258" s="4" t="s">
        <v>55</v>
      </c>
      <c r="B2258" s="7">
        <v>46066.0</v>
      </c>
      <c r="C2258" s="4" t="s">
        <v>797</v>
      </c>
      <c r="D2258" s="4" t="s">
        <v>3478</v>
      </c>
      <c r="E2258" s="8">
        <v>40.0</v>
      </c>
      <c r="F2258" s="4" t="str">
        <f t="shared" si="1"/>
        <v>500 &amp; Below</v>
      </c>
    </row>
    <row r="2259" ht="15.75" customHeight="1">
      <c r="A2259" s="4" t="s">
        <v>55</v>
      </c>
      <c r="B2259" s="7">
        <v>46066.0</v>
      </c>
      <c r="C2259" s="4" t="s">
        <v>797</v>
      </c>
      <c r="D2259" s="4" t="s">
        <v>107</v>
      </c>
      <c r="E2259" s="8">
        <v>10.0</v>
      </c>
      <c r="F2259" s="4" t="str">
        <f t="shared" si="1"/>
        <v>500 &amp; Below</v>
      </c>
    </row>
    <row r="2260" ht="15.75" customHeight="1">
      <c r="A2260" s="4" t="s">
        <v>55</v>
      </c>
      <c r="B2260" s="7">
        <v>46066.0</v>
      </c>
      <c r="C2260" s="4" t="s">
        <v>797</v>
      </c>
      <c r="D2260" s="4" t="s">
        <v>46</v>
      </c>
      <c r="E2260" s="8">
        <v>250.0</v>
      </c>
      <c r="F2260" s="4" t="str">
        <f t="shared" si="1"/>
        <v>500 &amp; Below</v>
      </c>
    </row>
    <row r="2261" ht="15.75" customHeight="1">
      <c r="A2261" s="4" t="s">
        <v>55</v>
      </c>
      <c r="B2261" s="7">
        <v>46067.0</v>
      </c>
      <c r="C2261" s="4" t="s">
        <v>797</v>
      </c>
      <c r="D2261" s="4" t="s">
        <v>3484</v>
      </c>
      <c r="E2261" s="8">
        <v>404.0</v>
      </c>
      <c r="F2261" s="4" t="str">
        <f t="shared" si="1"/>
        <v>500 &amp; Below</v>
      </c>
    </row>
    <row r="2262" ht="15.75" customHeight="1">
      <c r="A2262" s="4" t="s">
        <v>55</v>
      </c>
      <c r="B2262" s="7">
        <v>46067.0</v>
      </c>
      <c r="C2262" s="4" t="s">
        <v>797</v>
      </c>
      <c r="D2262" s="4" t="s">
        <v>3478</v>
      </c>
      <c r="E2262" s="8">
        <v>20.0</v>
      </c>
      <c r="F2262" s="4" t="str">
        <f t="shared" si="1"/>
        <v>500 &amp; Below</v>
      </c>
    </row>
    <row r="2263" ht="15.75" customHeight="1">
      <c r="A2263" s="4" t="s">
        <v>55</v>
      </c>
      <c r="B2263" s="7">
        <v>46068.0</v>
      </c>
      <c r="C2263" s="4" t="s">
        <v>797</v>
      </c>
      <c r="D2263" s="4" t="s">
        <v>2565</v>
      </c>
      <c r="E2263" s="8">
        <v>299.0</v>
      </c>
      <c r="F2263" s="4" t="str">
        <f t="shared" si="1"/>
        <v>500 &amp; Below</v>
      </c>
    </row>
    <row r="2264" ht="15.75" customHeight="1">
      <c r="A2264" s="4" t="s">
        <v>55</v>
      </c>
      <c r="B2264" s="7">
        <v>46068.0</v>
      </c>
      <c r="C2264" s="4" t="s">
        <v>797</v>
      </c>
      <c r="D2264" s="4" t="s">
        <v>3485</v>
      </c>
      <c r="E2264" s="8">
        <v>590.0</v>
      </c>
      <c r="F2264" s="4" t="str">
        <f t="shared" si="1"/>
        <v>Above 500</v>
      </c>
    </row>
    <row r="2265" ht="15.75" customHeight="1">
      <c r="A2265" s="4" t="s">
        <v>55</v>
      </c>
      <c r="B2265" s="7">
        <v>46069.0</v>
      </c>
      <c r="C2265" s="4" t="s">
        <v>797</v>
      </c>
      <c r="D2265" s="4" t="s">
        <v>3285</v>
      </c>
      <c r="E2265" s="8">
        <v>125.0</v>
      </c>
      <c r="F2265" s="4" t="str">
        <f t="shared" si="1"/>
        <v>500 &amp; Below</v>
      </c>
    </row>
    <row r="2266" ht="15.75" customHeight="1">
      <c r="A2266" s="4" t="s">
        <v>55</v>
      </c>
      <c r="B2266" s="7">
        <v>46069.0</v>
      </c>
      <c r="C2266" s="4" t="s">
        <v>797</v>
      </c>
      <c r="D2266" s="4" t="s">
        <v>3486</v>
      </c>
      <c r="E2266" s="8">
        <v>20.0</v>
      </c>
      <c r="F2266" s="4" t="str">
        <f t="shared" si="1"/>
        <v>500 &amp; Below</v>
      </c>
    </row>
    <row r="2267" ht="15.75" customHeight="1">
      <c r="A2267" s="4" t="s">
        <v>55</v>
      </c>
      <c r="B2267" s="7">
        <v>46070.0</v>
      </c>
      <c r="C2267" s="4" t="s">
        <v>797</v>
      </c>
      <c r="D2267" s="4" t="s">
        <v>112</v>
      </c>
      <c r="E2267" s="8">
        <v>20.0</v>
      </c>
      <c r="F2267" s="4" t="str">
        <f t="shared" si="1"/>
        <v>500 &amp; Below</v>
      </c>
    </row>
    <row r="2268" ht="15.75" customHeight="1">
      <c r="A2268" s="4" t="s">
        <v>55</v>
      </c>
      <c r="B2268" s="7">
        <v>46070.0</v>
      </c>
      <c r="C2268" s="4" t="s">
        <v>797</v>
      </c>
      <c r="D2268" s="4" t="s">
        <v>107</v>
      </c>
      <c r="E2268" s="8">
        <v>10.0</v>
      </c>
      <c r="F2268" s="4" t="str">
        <f t="shared" si="1"/>
        <v>500 &amp; Below</v>
      </c>
    </row>
    <row r="2269" ht="15.75" customHeight="1">
      <c r="A2269" s="4" t="s">
        <v>55</v>
      </c>
      <c r="B2269" s="7">
        <v>46071.0</v>
      </c>
      <c r="C2269" s="4" t="s">
        <v>797</v>
      </c>
      <c r="D2269" s="4" t="s">
        <v>3487</v>
      </c>
      <c r="E2269" s="8">
        <v>10.0</v>
      </c>
      <c r="F2269" s="4" t="str">
        <f t="shared" si="1"/>
        <v>500 &amp; Below</v>
      </c>
    </row>
    <row r="2270" ht="15.75" customHeight="1">
      <c r="A2270" s="4" t="s">
        <v>55</v>
      </c>
      <c r="B2270" s="7">
        <v>46071.0</v>
      </c>
      <c r="C2270" s="4" t="s">
        <v>797</v>
      </c>
      <c r="D2270" s="4" t="s">
        <v>3218</v>
      </c>
      <c r="E2270" s="8">
        <v>303.3</v>
      </c>
      <c r="F2270" s="4" t="str">
        <f t="shared" si="1"/>
        <v>500 &amp; Below</v>
      </c>
    </row>
    <row r="2271" ht="15.75" customHeight="1">
      <c r="A2271" s="4" t="s">
        <v>55</v>
      </c>
      <c r="B2271" s="7">
        <v>46071.0</v>
      </c>
      <c r="C2271" s="4" t="s">
        <v>797</v>
      </c>
      <c r="D2271" s="4" t="s">
        <v>3478</v>
      </c>
      <c r="E2271" s="8">
        <v>10.0</v>
      </c>
      <c r="F2271" s="4" t="str">
        <f t="shared" si="1"/>
        <v>500 &amp; Below</v>
      </c>
    </row>
    <row r="2272" ht="15.75" customHeight="1">
      <c r="A2272" s="4" t="s">
        <v>55</v>
      </c>
      <c r="B2272" s="7">
        <v>46071.0</v>
      </c>
      <c r="C2272" s="4" t="s">
        <v>797</v>
      </c>
      <c r="D2272" s="4" t="s">
        <v>3275</v>
      </c>
      <c r="E2272" s="8">
        <v>114.0</v>
      </c>
      <c r="F2272" s="4" t="str">
        <f t="shared" si="1"/>
        <v>500 &amp; Below</v>
      </c>
    </row>
    <row r="2273" ht="15.75" customHeight="1">
      <c r="A2273" s="4" t="s">
        <v>55</v>
      </c>
      <c r="B2273" s="7">
        <v>46071.0</v>
      </c>
      <c r="C2273" s="4" t="s">
        <v>797</v>
      </c>
      <c r="D2273" s="4" t="s">
        <v>3488</v>
      </c>
      <c r="E2273" s="8">
        <v>100.0</v>
      </c>
      <c r="F2273" s="4" t="str">
        <f t="shared" si="1"/>
        <v>500 &amp; Below</v>
      </c>
    </row>
    <row r="2274" ht="15.75" customHeight="1">
      <c r="A2274" s="4" t="s">
        <v>55</v>
      </c>
      <c r="B2274" s="7">
        <v>46071.0</v>
      </c>
      <c r="C2274" s="4" t="s">
        <v>797</v>
      </c>
      <c r="D2274" s="4" t="s">
        <v>3488</v>
      </c>
      <c r="E2274" s="8">
        <v>5900.0</v>
      </c>
      <c r="F2274" s="4" t="str">
        <f t="shared" si="1"/>
        <v>Above 500</v>
      </c>
    </row>
    <row r="2275" ht="15.75" customHeight="1">
      <c r="A2275" s="4" t="s">
        <v>55</v>
      </c>
      <c r="B2275" s="7">
        <v>46071.0</v>
      </c>
      <c r="C2275" s="4" t="s">
        <v>797</v>
      </c>
      <c r="D2275" s="4" t="s">
        <v>3184</v>
      </c>
      <c r="E2275" s="8">
        <v>22.0</v>
      </c>
      <c r="F2275" s="4" t="str">
        <f t="shared" si="1"/>
        <v>500 &amp; Below</v>
      </c>
    </row>
    <row r="2276" ht="15.75" customHeight="1">
      <c r="A2276" s="4" t="s">
        <v>55</v>
      </c>
      <c r="B2276" s="7">
        <v>46072.0</v>
      </c>
      <c r="C2276" s="4" t="s">
        <v>797</v>
      </c>
      <c r="D2276" s="4" t="s">
        <v>3489</v>
      </c>
      <c r="E2276" s="8">
        <v>20.0</v>
      </c>
      <c r="F2276" s="4" t="str">
        <f t="shared" si="1"/>
        <v>500 &amp; Below</v>
      </c>
    </row>
    <row r="2277" ht="15.75" customHeight="1">
      <c r="A2277" s="4" t="s">
        <v>55</v>
      </c>
      <c r="B2277" s="7">
        <v>46072.0</v>
      </c>
      <c r="C2277" s="4" t="s">
        <v>797</v>
      </c>
      <c r="D2277" s="4" t="s">
        <v>3442</v>
      </c>
      <c r="E2277" s="8">
        <v>640.0</v>
      </c>
      <c r="F2277" s="4" t="str">
        <f t="shared" si="1"/>
        <v>Above 500</v>
      </c>
    </row>
    <row r="2278" ht="15.75" customHeight="1">
      <c r="A2278" s="4" t="s">
        <v>55</v>
      </c>
      <c r="B2278" s="7">
        <v>46072.0</v>
      </c>
      <c r="C2278" s="4" t="s">
        <v>797</v>
      </c>
      <c r="D2278" s="4" t="s">
        <v>3442</v>
      </c>
      <c r="E2278" s="8">
        <v>640.0</v>
      </c>
      <c r="F2278" s="4" t="str">
        <f t="shared" si="1"/>
        <v>Above 500</v>
      </c>
    </row>
    <row r="2279" ht="15.75" customHeight="1">
      <c r="A2279" s="4" t="s">
        <v>55</v>
      </c>
      <c r="B2279" s="7">
        <v>46073.0</v>
      </c>
      <c r="C2279" s="4" t="s">
        <v>797</v>
      </c>
      <c r="D2279" s="4" t="s">
        <v>3310</v>
      </c>
      <c r="E2279" s="8">
        <v>10.0</v>
      </c>
      <c r="F2279" s="4" t="str">
        <f t="shared" si="1"/>
        <v>500 &amp; Below</v>
      </c>
    </row>
    <row r="2280" ht="15.75" customHeight="1">
      <c r="A2280" s="4" t="s">
        <v>55</v>
      </c>
      <c r="B2280" s="7">
        <v>46073.0</v>
      </c>
      <c r="C2280" s="4" t="s">
        <v>797</v>
      </c>
      <c r="D2280" s="4" t="s">
        <v>2357</v>
      </c>
      <c r="E2280" s="8">
        <v>305.0</v>
      </c>
      <c r="F2280" s="4" t="str">
        <f t="shared" si="1"/>
        <v>500 &amp; Below</v>
      </c>
    </row>
    <row r="2281" ht="15.75" customHeight="1">
      <c r="A2281" s="4" t="s">
        <v>55</v>
      </c>
      <c r="B2281" s="7">
        <v>46073.0</v>
      </c>
      <c r="C2281" s="4" t="s">
        <v>797</v>
      </c>
      <c r="D2281" s="4" t="s">
        <v>24</v>
      </c>
      <c r="E2281" s="8">
        <v>20.0</v>
      </c>
      <c r="F2281" s="4" t="str">
        <f t="shared" si="1"/>
        <v>500 &amp; Below</v>
      </c>
    </row>
    <row r="2282" ht="15.75" customHeight="1">
      <c r="A2282" s="4" t="s">
        <v>55</v>
      </c>
      <c r="B2282" s="7">
        <v>46073.0</v>
      </c>
      <c r="C2282" s="4" t="s">
        <v>797</v>
      </c>
      <c r="D2282" s="4" t="s">
        <v>989</v>
      </c>
      <c r="E2282" s="8">
        <v>400.0</v>
      </c>
      <c r="F2282" s="4" t="str">
        <f t="shared" si="1"/>
        <v>500 &amp; Below</v>
      </c>
    </row>
    <row r="2283" ht="15.75" customHeight="1">
      <c r="A2283" s="4" t="s">
        <v>55</v>
      </c>
      <c r="B2283" s="7">
        <v>46073.0</v>
      </c>
      <c r="C2283" s="4" t="s">
        <v>797</v>
      </c>
      <c r="D2283" s="4" t="s">
        <v>3490</v>
      </c>
      <c r="E2283" s="8">
        <v>60.0</v>
      </c>
      <c r="F2283" s="4" t="str">
        <f t="shared" si="1"/>
        <v>500 &amp; Below</v>
      </c>
    </row>
    <row r="2284" ht="15.75" customHeight="1">
      <c r="A2284" s="4" t="s">
        <v>55</v>
      </c>
      <c r="B2284" s="7">
        <v>46073.0</v>
      </c>
      <c r="C2284" s="4" t="s">
        <v>797</v>
      </c>
      <c r="D2284" s="4" t="s">
        <v>3491</v>
      </c>
      <c r="E2284" s="8">
        <v>9.0</v>
      </c>
      <c r="F2284" s="4" t="str">
        <f t="shared" si="1"/>
        <v>500 &amp; Below</v>
      </c>
    </row>
    <row r="2285" ht="15.75" customHeight="1">
      <c r="A2285" s="4" t="s">
        <v>55</v>
      </c>
      <c r="B2285" s="7">
        <v>46073.0</v>
      </c>
      <c r="C2285" s="4" t="s">
        <v>797</v>
      </c>
      <c r="D2285" s="4" t="s">
        <v>3476</v>
      </c>
      <c r="E2285" s="8">
        <v>205.0</v>
      </c>
      <c r="F2285" s="4" t="str">
        <f t="shared" si="1"/>
        <v>500 &amp; Below</v>
      </c>
    </row>
    <row r="2286" ht="15.75" customHeight="1">
      <c r="A2286" s="4" t="s">
        <v>55</v>
      </c>
      <c r="B2286" s="7">
        <v>46073.0</v>
      </c>
      <c r="C2286" s="4" t="s">
        <v>797</v>
      </c>
      <c r="D2286" s="4" t="s">
        <v>107</v>
      </c>
      <c r="E2286" s="8">
        <v>10.0</v>
      </c>
      <c r="F2286" s="4" t="str">
        <f t="shared" si="1"/>
        <v>500 &amp; Below</v>
      </c>
    </row>
    <row r="2287" ht="15.75" customHeight="1">
      <c r="A2287" s="4" t="s">
        <v>55</v>
      </c>
      <c r="B2287" s="7">
        <v>46074.0</v>
      </c>
      <c r="C2287" s="4" t="s">
        <v>797</v>
      </c>
      <c r="D2287" s="4" t="s">
        <v>3259</v>
      </c>
      <c r="E2287" s="8">
        <v>30.0</v>
      </c>
      <c r="F2287" s="4" t="str">
        <f t="shared" si="1"/>
        <v>500 &amp; Below</v>
      </c>
    </row>
    <row r="2288" ht="15.75" customHeight="1">
      <c r="A2288" s="4" t="s">
        <v>55</v>
      </c>
      <c r="B2288" s="7">
        <v>46074.0</v>
      </c>
      <c r="C2288" s="4" t="s">
        <v>797</v>
      </c>
      <c r="D2288" s="4" t="s">
        <v>3218</v>
      </c>
      <c r="E2288" s="8">
        <v>172.0</v>
      </c>
      <c r="F2288" s="4" t="str">
        <f t="shared" si="1"/>
        <v>500 &amp; Below</v>
      </c>
    </row>
    <row r="2289" ht="15.75" customHeight="1">
      <c r="A2289" s="4" t="s">
        <v>55</v>
      </c>
      <c r="B2289" s="7">
        <v>46074.0</v>
      </c>
      <c r="C2289" s="4" t="s">
        <v>797</v>
      </c>
      <c r="D2289" s="4" t="s">
        <v>3492</v>
      </c>
      <c r="E2289" s="8">
        <v>215.0</v>
      </c>
      <c r="F2289" s="4" t="str">
        <f t="shared" si="1"/>
        <v>500 &amp; Below</v>
      </c>
    </row>
    <row r="2290" ht="15.75" customHeight="1">
      <c r="A2290" s="4" t="s">
        <v>55</v>
      </c>
      <c r="B2290" s="7">
        <v>46074.0</v>
      </c>
      <c r="C2290" s="4" t="s">
        <v>797</v>
      </c>
      <c r="D2290" s="4" t="s">
        <v>79</v>
      </c>
      <c r="E2290" s="8">
        <v>120.0</v>
      </c>
      <c r="F2290" s="4" t="str">
        <f t="shared" si="1"/>
        <v>500 &amp; Below</v>
      </c>
    </row>
    <row r="2291" ht="15.75" customHeight="1">
      <c r="A2291" s="4" t="s">
        <v>55</v>
      </c>
      <c r="B2291" s="7">
        <v>46075.0</v>
      </c>
      <c r="C2291" s="4" t="s">
        <v>797</v>
      </c>
      <c r="D2291" s="4" t="s">
        <v>1340</v>
      </c>
      <c r="E2291" s="8">
        <v>40.0</v>
      </c>
      <c r="F2291" s="4" t="str">
        <f t="shared" si="1"/>
        <v>500 &amp; Below</v>
      </c>
    </row>
    <row r="2292" ht="15.75" customHeight="1">
      <c r="A2292" s="4" t="s">
        <v>55</v>
      </c>
      <c r="B2292" s="7">
        <v>46075.0</v>
      </c>
      <c r="C2292" s="4" t="s">
        <v>797</v>
      </c>
      <c r="D2292" s="4" t="s">
        <v>33</v>
      </c>
      <c r="E2292" s="8">
        <v>199.0</v>
      </c>
      <c r="F2292" s="4" t="str">
        <f t="shared" si="1"/>
        <v>500 &amp; Below</v>
      </c>
    </row>
    <row r="2293" ht="15.75" customHeight="1">
      <c r="A2293" s="4" t="s">
        <v>55</v>
      </c>
      <c r="B2293" s="7">
        <v>46076.0</v>
      </c>
      <c r="C2293" s="4" t="s">
        <v>797</v>
      </c>
      <c r="D2293" s="4" t="s">
        <v>112</v>
      </c>
      <c r="E2293" s="8">
        <v>20.0</v>
      </c>
      <c r="F2293" s="4" t="str">
        <f t="shared" si="1"/>
        <v>500 &amp; Below</v>
      </c>
    </row>
    <row r="2294" ht="15.75" customHeight="1">
      <c r="A2294" s="4" t="s">
        <v>55</v>
      </c>
      <c r="B2294" s="7">
        <v>46077.0</v>
      </c>
      <c r="C2294" s="4" t="s">
        <v>797</v>
      </c>
      <c r="D2294" s="4" t="s">
        <v>3493</v>
      </c>
      <c r="E2294" s="8">
        <v>80.0</v>
      </c>
      <c r="F2294" s="4" t="str">
        <f t="shared" si="1"/>
        <v>500 &amp; Below</v>
      </c>
    </row>
    <row r="2295" ht="15.75" customHeight="1">
      <c r="A2295" s="4" t="s">
        <v>55</v>
      </c>
      <c r="B2295" s="7">
        <v>46077.0</v>
      </c>
      <c r="C2295" s="4" t="s">
        <v>797</v>
      </c>
      <c r="D2295" s="4" t="s">
        <v>2357</v>
      </c>
      <c r="E2295" s="8">
        <v>305.0</v>
      </c>
      <c r="F2295" s="4" t="str">
        <f t="shared" si="1"/>
        <v>500 &amp; Below</v>
      </c>
    </row>
    <row r="2296" ht="15.75" customHeight="1">
      <c r="A2296" s="4" t="s">
        <v>55</v>
      </c>
      <c r="B2296" s="7">
        <v>46077.0</v>
      </c>
      <c r="C2296" s="4" t="s">
        <v>797</v>
      </c>
      <c r="D2296" s="4" t="s">
        <v>1497</v>
      </c>
      <c r="E2296" s="8">
        <v>300.0</v>
      </c>
      <c r="F2296" s="4" t="str">
        <f t="shared" si="1"/>
        <v>500 &amp; Below</v>
      </c>
    </row>
    <row r="2297" ht="15.75" customHeight="1">
      <c r="A2297" s="4" t="s">
        <v>55</v>
      </c>
      <c r="B2297" s="7">
        <v>46077.0</v>
      </c>
      <c r="C2297" s="4" t="s">
        <v>797</v>
      </c>
      <c r="D2297" s="4" t="s">
        <v>3218</v>
      </c>
      <c r="E2297" s="8">
        <v>313.5</v>
      </c>
      <c r="F2297" s="4" t="str">
        <f t="shared" si="1"/>
        <v>500 &amp; Below</v>
      </c>
    </row>
    <row r="2298" ht="15.75" customHeight="1">
      <c r="A2298" s="4" t="s">
        <v>55</v>
      </c>
      <c r="B2298" s="7">
        <v>46077.0</v>
      </c>
      <c r="C2298" s="4" t="s">
        <v>797</v>
      </c>
      <c r="D2298" s="4" t="s">
        <v>3494</v>
      </c>
      <c r="E2298" s="8">
        <v>310.0</v>
      </c>
      <c r="F2298" s="4" t="str">
        <f t="shared" si="1"/>
        <v>500 &amp; Below</v>
      </c>
    </row>
    <row r="2299" ht="15.75" customHeight="1">
      <c r="A2299" s="4" t="s">
        <v>55</v>
      </c>
      <c r="B2299" s="7">
        <v>46078.0</v>
      </c>
      <c r="C2299" s="4" t="s">
        <v>797</v>
      </c>
      <c r="D2299" s="4" t="s">
        <v>3290</v>
      </c>
      <c r="E2299" s="8">
        <v>335.0</v>
      </c>
      <c r="F2299" s="4" t="str">
        <f t="shared" si="1"/>
        <v>500 &amp; Below</v>
      </c>
    </row>
    <row r="2300" ht="15.75" customHeight="1">
      <c r="A2300" s="4" t="s">
        <v>55</v>
      </c>
      <c r="B2300" s="7">
        <v>46078.0</v>
      </c>
      <c r="C2300" s="4" t="s">
        <v>797</v>
      </c>
      <c r="D2300" s="4" t="s">
        <v>3434</v>
      </c>
      <c r="E2300" s="8">
        <v>1025.25</v>
      </c>
      <c r="F2300" s="4" t="str">
        <f t="shared" si="1"/>
        <v>Above 500</v>
      </c>
    </row>
    <row r="2301" ht="15.75" customHeight="1">
      <c r="A2301" s="4" t="s">
        <v>55</v>
      </c>
      <c r="B2301" s="7">
        <v>46078.0</v>
      </c>
      <c r="C2301" s="4" t="s">
        <v>797</v>
      </c>
      <c r="D2301" s="4" t="s">
        <v>108</v>
      </c>
      <c r="E2301" s="8">
        <v>10.0</v>
      </c>
      <c r="F2301" s="4" t="str">
        <f t="shared" si="1"/>
        <v>500 &amp; Below</v>
      </c>
    </row>
    <row r="2302" ht="15.75" customHeight="1">
      <c r="A2302" s="4" t="s">
        <v>55</v>
      </c>
      <c r="B2302" s="7">
        <v>46078.0</v>
      </c>
      <c r="C2302" s="4" t="s">
        <v>797</v>
      </c>
      <c r="D2302" s="4" t="s">
        <v>3495</v>
      </c>
      <c r="E2302" s="8">
        <v>300.0</v>
      </c>
      <c r="F2302" s="4" t="str">
        <f t="shared" si="1"/>
        <v>500 &amp; Below</v>
      </c>
    </row>
    <row r="2303" ht="15.75" customHeight="1">
      <c r="A2303" s="4" t="s">
        <v>55</v>
      </c>
      <c r="B2303" s="7">
        <v>46078.0</v>
      </c>
      <c r="C2303" s="4" t="s">
        <v>797</v>
      </c>
      <c r="D2303" s="4" t="s">
        <v>3218</v>
      </c>
      <c r="E2303" s="8">
        <v>205.3</v>
      </c>
      <c r="F2303" s="4" t="str">
        <f t="shared" si="1"/>
        <v>500 &amp; Below</v>
      </c>
    </row>
    <row r="2304" ht="15.75" customHeight="1">
      <c r="A2304" s="4" t="s">
        <v>55</v>
      </c>
      <c r="B2304" s="7">
        <v>46078.0</v>
      </c>
      <c r="C2304" s="4" t="s">
        <v>797</v>
      </c>
      <c r="D2304" s="4" t="s">
        <v>3496</v>
      </c>
      <c r="E2304" s="8">
        <v>20.0</v>
      </c>
      <c r="F2304" s="4" t="str">
        <f t="shared" si="1"/>
        <v>500 &amp; Below</v>
      </c>
    </row>
    <row r="2305" ht="15.75" customHeight="1">
      <c r="A2305" s="4" t="s">
        <v>55</v>
      </c>
      <c r="B2305" s="7">
        <v>46078.0</v>
      </c>
      <c r="C2305" s="4" t="s">
        <v>797</v>
      </c>
      <c r="D2305" s="4" t="s">
        <v>3497</v>
      </c>
      <c r="E2305" s="8">
        <v>20.0</v>
      </c>
      <c r="F2305" s="4" t="str">
        <f t="shared" si="1"/>
        <v>500 &amp; Below</v>
      </c>
    </row>
    <row r="2306" ht="15.75" customHeight="1">
      <c r="A2306" s="4" t="s">
        <v>55</v>
      </c>
      <c r="B2306" s="7">
        <v>46078.0</v>
      </c>
      <c r="C2306" s="4" t="s">
        <v>797</v>
      </c>
      <c r="D2306" s="4" t="s">
        <v>1340</v>
      </c>
      <c r="E2306" s="8">
        <v>20.0</v>
      </c>
      <c r="F2306" s="4" t="str">
        <f t="shared" si="1"/>
        <v>500 &amp; Below</v>
      </c>
    </row>
    <row r="2307" ht="15.75" customHeight="1">
      <c r="A2307" s="4" t="s">
        <v>55</v>
      </c>
      <c r="B2307" s="7">
        <v>46078.0</v>
      </c>
      <c r="C2307" s="4" t="s">
        <v>797</v>
      </c>
      <c r="D2307" s="4" t="s">
        <v>3472</v>
      </c>
      <c r="E2307" s="8">
        <v>120.0</v>
      </c>
      <c r="F2307" s="4" t="str">
        <f t="shared" si="1"/>
        <v>500 &amp; Below</v>
      </c>
    </row>
    <row r="2308" ht="15.75" customHeight="1">
      <c r="A2308" s="4" t="s">
        <v>55</v>
      </c>
      <c r="B2308" s="7">
        <v>46079.0</v>
      </c>
      <c r="C2308" s="4" t="s">
        <v>797</v>
      </c>
      <c r="D2308" s="4" t="s">
        <v>2565</v>
      </c>
      <c r="E2308" s="8">
        <v>489.0</v>
      </c>
      <c r="F2308" s="4" t="str">
        <f t="shared" si="1"/>
        <v>500 &amp; Below</v>
      </c>
    </row>
    <row r="2309" ht="15.75" customHeight="1">
      <c r="A2309" s="4" t="s">
        <v>55</v>
      </c>
      <c r="B2309" s="7">
        <v>46079.0</v>
      </c>
      <c r="C2309" s="4" t="s">
        <v>797</v>
      </c>
      <c r="D2309" s="4" t="s">
        <v>3285</v>
      </c>
      <c r="E2309" s="8">
        <v>130.0</v>
      </c>
      <c r="F2309" s="4" t="str">
        <f t="shared" si="1"/>
        <v>500 &amp; Below</v>
      </c>
    </row>
    <row r="2310" ht="15.75" customHeight="1">
      <c r="A2310" s="4" t="s">
        <v>55</v>
      </c>
      <c r="B2310" s="7">
        <v>46079.0</v>
      </c>
      <c r="C2310" s="4" t="s">
        <v>797</v>
      </c>
      <c r="D2310" s="4" t="s">
        <v>3486</v>
      </c>
      <c r="E2310" s="8">
        <v>70.0</v>
      </c>
      <c r="F2310" s="4" t="str">
        <f t="shared" si="1"/>
        <v>500 &amp; Below</v>
      </c>
    </row>
    <row r="2311" ht="15.75" customHeight="1">
      <c r="A2311" s="4" t="s">
        <v>55</v>
      </c>
      <c r="B2311" s="7">
        <v>46080.0</v>
      </c>
      <c r="C2311" s="4" t="s">
        <v>797</v>
      </c>
      <c r="D2311" s="4" t="s">
        <v>3498</v>
      </c>
      <c r="E2311" s="8">
        <v>100.0</v>
      </c>
      <c r="F2311" s="4" t="str">
        <f t="shared" si="1"/>
        <v>500 &amp; Below</v>
      </c>
    </row>
    <row r="2312" ht="15.75" customHeight="1">
      <c r="A2312" s="4" t="s">
        <v>55</v>
      </c>
      <c r="B2312" s="7">
        <v>46080.0</v>
      </c>
      <c r="C2312" s="4" t="s">
        <v>797</v>
      </c>
      <c r="D2312" s="4" t="s">
        <v>3499</v>
      </c>
      <c r="E2312" s="8">
        <v>258.0</v>
      </c>
      <c r="F2312" s="4" t="str">
        <f t="shared" si="1"/>
        <v>500 &amp; Below</v>
      </c>
    </row>
    <row r="2313" ht="15.75" customHeight="1">
      <c r="A2313" s="4" t="s">
        <v>55</v>
      </c>
      <c r="B2313" s="7">
        <v>46080.0</v>
      </c>
      <c r="C2313" s="4" t="s">
        <v>797</v>
      </c>
      <c r="D2313" s="4" t="s">
        <v>3445</v>
      </c>
      <c r="E2313" s="8">
        <v>70.0</v>
      </c>
      <c r="F2313" s="4" t="str">
        <f t="shared" si="1"/>
        <v>500 &amp; Below</v>
      </c>
    </row>
    <row r="2314" ht="15.75" customHeight="1">
      <c r="A2314" s="4" t="s">
        <v>55</v>
      </c>
      <c r="B2314" s="7">
        <v>46080.0</v>
      </c>
      <c r="C2314" s="4" t="s">
        <v>797</v>
      </c>
      <c r="D2314" s="4" t="s">
        <v>3442</v>
      </c>
      <c r="E2314" s="8">
        <v>300.0</v>
      </c>
      <c r="F2314" s="4" t="str">
        <f t="shared" si="1"/>
        <v>500 &amp; Below</v>
      </c>
    </row>
    <row r="2315" ht="15.75" customHeight="1">
      <c r="A2315" s="4" t="s">
        <v>55</v>
      </c>
      <c r="B2315" s="7">
        <v>46081.0</v>
      </c>
      <c r="C2315" s="4" t="s">
        <v>797</v>
      </c>
      <c r="D2315" s="4" t="s">
        <v>1754</v>
      </c>
      <c r="E2315" s="8">
        <v>40.0</v>
      </c>
      <c r="F2315" s="4" t="str">
        <f t="shared" si="1"/>
        <v>500 &amp; Below</v>
      </c>
    </row>
    <row r="2316" ht="15.75" customHeight="1">
      <c r="A2316" s="4" t="s">
        <v>55</v>
      </c>
      <c r="B2316" s="7">
        <v>46081.0</v>
      </c>
      <c r="C2316" s="4" t="s">
        <v>797</v>
      </c>
      <c r="D2316" s="4" t="s">
        <v>3478</v>
      </c>
      <c r="E2316" s="8">
        <v>20.0</v>
      </c>
      <c r="F2316" s="4" t="str">
        <f t="shared" si="1"/>
        <v>500 &amp; Below</v>
      </c>
    </row>
    <row r="2317" ht="15.75" customHeight="1">
      <c r="A2317" s="4" t="s">
        <v>55</v>
      </c>
      <c r="B2317" s="7">
        <v>46082.0</v>
      </c>
      <c r="C2317" s="4" t="s">
        <v>861</v>
      </c>
      <c r="D2317" s="4" t="s">
        <v>3434</v>
      </c>
      <c r="E2317" s="8">
        <v>60.0</v>
      </c>
      <c r="F2317" s="4" t="str">
        <f t="shared" si="1"/>
        <v>500 &amp; Below</v>
      </c>
    </row>
    <row r="2318" ht="15.75" customHeight="1">
      <c r="A2318" s="4" t="s">
        <v>55</v>
      </c>
      <c r="B2318" s="7">
        <v>46082.0</v>
      </c>
      <c r="C2318" s="4" t="s">
        <v>861</v>
      </c>
      <c r="D2318" s="4" t="s">
        <v>3250</v>
      </c>
      <c r="E2318" s="8">
        <v>196.0</v>
      </c>
      <c r="F2318" s="4" t="str">
        <f t="shared" si="1"/>
        <v>500 &amp; Below</v>
      </c>
    </row>
    <row r="2319" ht="15.75" customHeight="1">
      <c r="A2319" s="4" t="s">
        <v>55</v>
      </c>
      <c r="B2319" s="7">
        <v>46082.0</v>
      </c>
      <c r="C2319" s="4" t="s">
        <v>861</v>
      </c>
      <c r="D2319" s="4" t="s">
        <v>3500</v>
      </c>
      <c r="E2319" s="8">
        <v>100.0</v>
      </c>
      <c r="F2319" s="4" t="str">
        <f t="shared" si="1"/>
        <v>500 &amp; Below</v>
      </c>
    </row>
    <row r="2320" ht="15.75" customHeight="1">
      <c r="A2320" s="4" t="s">
        <v>55</v>
      </c>
      <c r="B2320" s="7">
        <v>46082.0</v>
      </c>
      <c r="C2320" s="4" t="s">
        <v>861</v>
      </c>
      <c r="D2320" s="4" t="s">
        <v>108</v>
      </c>
      <c r="E2320" s="8">
        <v>10.0</v>
      </c>
      <c r="F2320" s="4" t="str">
        <f t="shared" si="1"/>
        <v>500 &amp; Below</v>
      </c>
    </row>
    <row r="2321" ht="15.75" customHeight="1">
      <c r="A2321" s="4" t="s">
        <v>55</v>
      </c>
      <c r="B2321" s="7">
        <v>46082.0</v>
      </c>
      <c r="C2321" s="4" t="s">
        <v>861</v>
      </c>
      <c r="D2321" s="4" t="s">
        <v>3293</v>
      </c>
      <c r="E2321" s="8">
        <v>60.0</v>
      </c>
      <c r="F2321" s="4" t="str">
        <f t="shared" si="1"/>
        <v>500 &amp; Below</v>
      </c>
    </row>
    <row r="2322" ht="15.75" customHeight="1">
      <c r="A2322" s="4" t="s">
        <v>55</v>
      </c>
      <c r="B2322" s="7">
        <v>46083.0</v>
      </c>
      <c r="C2322" s="4" t="s">
        <v>861</v>
      </c>
      <c r="D2322" s="4" t="s">
        <v>3501</v>
      </c>
      <c r="E2322" s="8">
        <v>2000.0</v>
      </c>
      <c r="F2322" s="4" t="str">
        <f t="shared" si="1"/>
        <v>Above 500</v>
      </c>
    </row>
    <row r="2323" ht="15.75" customHeight="1">
      <c r="A2323" s="4" t="s">
        <v>55</v>
      </c>
      <c r="B2323" s="7">
        <v>46083.0</v>
      </c>
      <c r="C2323" s="4" t="s">
        <v>861</v>
      </c>
      <c r="D2323" s="4" t="s">
        <v>3484</v>
      </c>
      <c r="E2323" s="8">
        <v>404.0</v>
      </c>
      <c r="F2323" s="4" t="str">
        <f t="shared" si="1"/>
        <v>500 &amp; Below</v>
      </c>
    </row>
    <row r="2324" ht="15.75" customHeight="1">
      <c r="A2324" s="4" t="s">
        <v>55</v>
      </c>
      <c r="B2324" s="7">
        <v>46085.0</v>
      </c>
      <c r="C2324" s="4" t="s">
        <v>861</v>
      </c>
      <c r="D2324" s="4" t="s">
        <v>3218</v>
      </c>
      <c r="E2324" s="8">
        <v>116.1</v>
      </c>
      <c r="F2324" s="4" t="str">
        <f t="shared" si="1"/>
        <v>500 &amp; Below</v>
      </c>
    </row>
    <row r="2325" ht="15.75" customHeight="1">
      <c r="A2325" s="4" t="s">
        <v>55</v>
      </c>
      <c r="B2325" s="7">
        <v>46086.0</v>
      </c>
      <c r="C2325" s="4" t="s">
        <v>861</v>
      </c>
      <c r="D2325" s="4" t="s">
        <v>18</v>
      </c>
      <c r="E2325" s="8">
        <v>445.51</v>
      </c>
      <c r="F2325" s="4" t="str">
        <f t="shared" si="1"/>
        <v>500 &amp; Below</v>
      </c>
    </row>
    <row r="2326" ht="15.75" customHeight="1">
      <c r="A2326" s="4" t="s">
        <v>55</v>
      </c>
      <c r="B2326" s="7">
        <v>46087.0</v>
      </c>
      <c r="C2326" s="4" t="s">
        <v>861</v>
      </c>
      <c r="D2326" s="4" t="s">
        <v>956</v>
      </c>
      <c r="E2326" s="8">
        <v>27.0</v>
      </c>
      <c r="F2326" s="4" t="str">
        <f t="shared" si="1"/>
        <v>500 &amp; Below</v>
      </c>
    </row>
    <row r="2327" ht="15.75" customHeight="1">
      <c r="A2327" s="4" t="s">
        <v>55</v>
      </c>
      <c r="B2327" s="7">
        <v>46087.0</v>
      </c>
      <c r="C2327" s="4" t="s">
        <v>861</v>
      </c>
      <c r="D2327" s="4" t="s">
        <v>33</v>
      </c>
      <c r="E2327" s="8">
        <v>145.0</v>
      </c>
      <c r="F2327" s="4" t="str">
        <f t="shared" si="1"/>
        <v>500 &amp; Below</v>
      </c>
    </row>
    <row r="2328" ht="15.75" customHeight="1">
      <c r="A2328" s="4" t="s">
        <v>55</v>
      </c>
      <c r="B2328" s="7">
        <v>46087.0</v>
      </c>
      <c r="C2328" s="4" t="s">
        <v>861</v>
      </c>
      <c r="D2328" s="4" t="s">
        <v>3478</v>
      </c>
      <c r="E2328" s="8">
        <v>55.0</v>
      </c>
      <c r="F2328" s="4" t="str">
        <f t="shared" si="1"/>
        <v>500 &amp; Below</v>
      </c>
    </row>
    <row r="2329" ht="15.75" customHeight="1">
      <c r="A2329" s="4" t="s">
        <v>55</v>
      </c>
      <c r="B2329" s="7">
        <v>46087.0</v>
      </c>
      <c r="C2329" s="4" t="s">
        <v>861</v>
      </c>
      <c r="D2329" s="4" t="s">
        <v>3502</v>
      </c>
      <c r="E2329" s="8">
        <v>531.0</v>
      </c>
      <c r="F2329" s="4" t="str">
        <f t="shared" si="1"/>
        <v>Above 500</v>
      </c>
    </row>
    <row r="2330" ht="15.75" customHeight="1">
      <c r="A2330" s="4" t="s">
        <v>55</v>
      </c>
      <c r="B2330" s="7">
        <v>46087.0</v>
      </c>
      <c r="C2330" s="4" t="s">
        <v>861</v>
      </c>
      <c r="D2330" s="4" t="s">
        <v>3010</v>
      </c>
      <c r="E2330" s="8">
        <v>1500.0</v>
      </c>
      <c r="F2330" s="4" t="str">
        <f t="shared" si="1"/>
        <v>Above 500</v>
      </c>
    </row>
    <row r="2331" ht="15.75" customHeight="1">
      <c r="A2331" s="4" t="s">
        <v>55</v>
      </c>
      <c r="B2331" s="7">
        <v>46087.0</v>
      </c>
      <c r="C2331" s="4" t="s">
        <v>861</v>
      </c>
      <c r="D2331" s="4" t="s">
        <v>3275</v>
      </c>
      <c r="E2331" s="8">
        <v>695.0</v>
      </c>
      <c r="F2331" s="4" t="str">
        <f t="shared" si="1"/>
        <v>Above 500</v>
      </c>
    </row>
    <row r="2332" ht="15.75" customHeight="1">
      <c r="A2332" s="4" t="s">
        <v>55</v>
      </c>
      <c r="B2332" s="7">
        <v>46087.0</v>
      </c>
      <c r="C2332" s="4" t="s">
        <v>861</v>
      </c>
      <c r="D2332" s="4" t="s">
        <v>3503</v>
      </c>
      <c r="E2332" s="8">
        <v>750.0</v>
      </c>
      <c r="F2332" s="4" t="str">
        <f t="shared" si="1"/>
        <v>Above 500</v>
      </c>
    </row>
    <row r="2333" ht="15.75" customHeight="1">
      <c r="A2333" s="4" t="s">
        <v>55</v>
      </c>
      <c r="B2333" s="7">
        <v>46087.0</v>
      </c>
      <c r="C2333" s="4" t="s">
        <v>861</v>
      </c>
      <c r="D2333" s="4" t="s">
        <v>3297</v>
      </c>
      <c r="E2333" s="8">
        <v>670.0</v>
      </c>
      <c r="F2333" s="4" t="str">
        <f t="shared" si="1"/>
        <v>Above 500</v>
      </c>
    </row>
    <row r="2334" ht="15.75" customHeight="1">
      <c r="A2334" s="4" t="s">
        <v>55</v>
      </c>
      <c r="B2334" s="7">
        <v>46087.0</v>
      </c>
      <c r="C2334" s="4" t="s">
        <v>861</v>
      </c>
      <c r="D2334" s="4" t="s">
        <v>3476</v>
      </c>
      <c r="E2334" s="8">
        <v>265.0</v>
      </c>
      <c r="F2334" s="4" t="str">
        <f t="shared" si="1"/>
        <v>500 &amp; Below</v>
      </c>
    </row>
    <row r="2335" ht="15.75" customHeight="1">
      <c r="A2335" s="4" t="s">
        <v>55</v>
      </c>
      <c r="B2335" s="7">
        <v>46087.0</v>
      </c>
      <c r="C2335" s="4" t="s">
        <v>861</v>
      </c>
      <c r="D2335" s="4" t="s">
        <v>37</v>
      </c>
      <c r="E2335" s="8">
        <v>29.0</v>
      </c>
      <c r="F2335" s="4" t="str">
        <f t="shared" si="1"/>
        <v>500 &amp; Below</v>
      </c>
    </row>
    <row r="2336" ht="15.75" customHeight="1">
      <c r="A2336" s="4" t="s">
        <v>55</v>
      </c>
      <c r="B2336" s="7">
        <v>46087.0</v>
      </c>
      <c r="C2336" s="4" t="s">
        <v>861</v>
      </c>
      <c r="D2336" s="4" t="s">
        <v>79</v>
      </c>
      <c r="E2336" s="8">
        <v>20.0</v>
      </c>
      <c r="F2336" s="4" t="str">
        <f t="shared" si="1"/>
        <v>500 &amp; Below</v>
      </c>
    </row>
    <row r="2337" ht="15.75" customHeight="1">
      <c r="A2337" s="4" t="s">
        <v>55</v>
      </c>
      <c r="B2337" s="7">
        <v>46088.0</v>
      </c>
      <c r="C2337" s="4" t="s">
        <v>861</v>
      </c>
      <c r="D2337" s="4" t="s">
        <v>2357</v>
      </c>
      <c r="E2337" s="8">
        <v>305.0</v>
      </c>
      <c r="F2337" s="4" t="str">
        <f t="shared" si="1"/>
        <v>500 &amp; Below</v>
      </c>
    </row>
    <row r="2338" ht="15.75" customHeight="1">
      <c r="A2338" s="4" t="s">
        <v>55</v>
      </c>
      <c r="B2338" s="7">
        <v>46088.0</v>
      </c>
      <c r="C2338" s="4" t="s">
        <v>861</v>
      </c>
      <c r="D2338" s="4" t="s">
        <v>3218</v>
      </c>
      <c r="E2338" s="8">
        <v>139.9</v>
      </c>
      <c r="F2338" s="4" t="str">
        <f t="shared" si="1"/>
        <v>500 &amp; Below</v>
      </c>
    </row>
    <row r="2339" ht="15.75" customHeight="1">
      <c r="A2339" s="4" t="s">
        <v>55</v>
      </c>
      <c r="B2339" s="7">
        <v>46090.0</v>
      </c>
      <c r="C2339" s="4" t="s">
        <v>861</v>
      </c>
      <c r="D2339" s="4" t="s">
        <v>3504</v>
      </c>
      <c r="E2339" s="8">
        <v>12.0</v>
      </c>
      <c r="F2339" s="4" t="str">
        <f t="shared" si="1"/>
        <v>500 &amp; Below</v>
      </c>
    </row>
    <row r="2340" ht="15.75" customHeight="1">
      <c r="A2340" s="4" t="s">
        <v>55</v>
      </c>
      <c r="B2340" s="7">
        <v>46090.0</v>
      </c>
      <c r="C2340" s="4" t="s">
        <v>861</v>
      </c>
      <c r="D2340" s="4" t="s">
        <v>3218</v>
      </c>
      <c r="E2340" s="8">
        <v>244.0</v>
      </c>
      <c r="F2340" s="4" t="str">
        <f t="shared" si="1"/>
        <v>500 &amp; Below</v>
      </c>
    </row>
    <row r="2341" ht="15.75" customHeight="1">
      <c r="A2341" s="4" t="s">
        <v>55</v>
      </c>
      <c r="B2341" s="7">
        <v>46090.0</v>
      </c>
      <c r="C2341" s="4" t="s">
        <v>861</v>
      </c>
      <c r="D2341" s="4" t="s">
        <v>2357</v>
      </c>
      <c r="E2341" s="8">
        <v>305.0</v>
      </c>
      <c r="F2341" s="4" t="str">
        <f t="shared" si="1"/>
        <v>500 &amp; Below</v>
      </c>
    </row>
    <row r="2342" ht="15.75" customHeight="1">
      <c r="A2342" s="4" t="s">
        <v>55</v>
      </c>
      <c r="B2342" s="7">
        <v>46091.0</v>
      </c>
      <c r="C2342" s="4" t="s">
        <v>861</v>
      </c>
      <c r="D2342" s="4" t="s">
        <v>3218</v>
      </c>
      <c r="E2342" s="8">
        <v>206.0</v>
      </c>
      <c r="F2342" s="4" t="str">
        <f t="shared" si="1"/>
        <v>500 &amp; Below</v>
      </c>
    </row>
    <row r="2343" ht="15.75" customHeight="1">
      <c r="A2343" s="4" t="s">
        <v>55</v>
      </c>
      <c r="B2343" s="7">
        <v>46091.0</v>
      </c>
      <c r="C2343" s="4" t="s">
        <v>861</v>
      </c>
      <c r="D2343" s="4" t="s">
        <v>52</v>
      </c>
      <c r="E2343" s="8">
        <v>409.0</v>
      </c>
      <c r="F2343" s="4" t="str">
        <f t="shared" si="1"/>
        <v>500 &amp; Below</v>
      </c>
    </row>
    <row r="2344" ht="15.75" customHeight="1">
      <c r="A2344" s="4" t="s">
        <v>55</v>
      </c>
      <c r="B2344" s="7">
        <v>46092.0</v>
      </c>
      <c r="C2344" s="4" t="s">
        <v>861</v>
      </c>
      <c r="D2344" s="4" t="s">
        <v>36</v>
      </c>
      <c r="E2344" s="8">
        <v>1470.0</v>
      </c>
      <c r="F2344" s="4" t="str">
        <f t="shared" si="1"/>
        <v>Above 500</v>
      </c>
    </row>
    <row r="2345" ht="15.75" customHeight="1">
      <c r="A2345" s="4" t="s">
        <v>55</v>
      </c>
      <c r="B2345" s="7">
        <v>46092.0</v>
      </c>
      <c r="C2345" s="4" t="s">
        <v>861</v>
      </c>
      <c r="D2345" s="4" t="s">
        <v>36</v>
      </c>
      <c r="E2345" s="8">
        <v>1009.0</v>
      </c>
      <c r="F2345" s="4" t="str">
        <f t="shared" si="1"/>
        <v>Above 500</v>
      </c>
    </row>
    <row r="2346" ht="15.75" customHeight="1">
      <c r="A2346" s="4" t="s">
        <v>55</v>
      </c>
      <c r="B2346" s="7">
        <v>46092.0</v>
      </c>
      <c r="C2346" s="4" t="s">
        <v>861</v>
      </c>
      <c r="D2346" s="4" t="s">
        <v>48</v>
      </c>
      <c r="E2346" s="8">
        <v>321.0</v>
      </c>
      <c r="F2346" s="4" t="str">
        <f t="shared" si="1"/>
        <v>500 &amp; Below</v>
      </c>
    </row>
    <row r="2347" ht="15.75" customHeight="1">
      <c r="A2347" s="4" t="s">
        <v>55</v>
      </c>
      <c r="B2347" s="7">
        <v>46092.0</v>
      </c>
      <c r="C2347" s="4" t="s">
        <v>861</v>
      </c>
      <c r="D2347" s="4" t="s">
        <v>3476</v>
      </c>
      <c r="E2347" s="8">
        <v>80.0</v>
      </c>
      <c r="F2347" s="4" t="str">
        <f t="shared" si="1"/>
        <v>500 &amp; Below</v>
      </c>
    </row>
    <row r="2348" ht="15.75" customHeight="1">
      <c r="A2348" s="4" t="s">
        <v>55</v>
      </c>
      <c r="B2348" s="7">
        <v>46092.0</v>
      </c>
      <c r="C2348" s="4" t="s">
        <v>861</v>
      </c>
      <c r="D2348" s="4" t="s">
        <v>36</v>
      </c>
      <c r="E2348" s="8">
        <v>2859.0</v>
      </c>
      <c r="F2348" s="4" t="str">
        <f t="shared" si="1"/>
        <v>Above 500</v>
      </c>
    </row>
    <row r="2349" ht="15.75" customHeight="1">
      <c r="A2349" s="4" t="s">
        <v>55</v>
      </c>
      <c r="B2349" s="7">
        <v>46093.0</v>
      </c>
      <c r="C2349" s="4" t="s">
        <v>861</v>
      </c>
      <c r="D2349" s="4" t="s">
        <v>3218</v>
      </c>
      <c r="E2349" s="8">
        <v>243.5</v>
      </c>
      <c r="F2349" s="4" t="str">
        <f t="shared" si="1"/>
        <v>500 &amp; Below</v>
      </c>
    </row>
    <row r="2350" ht="15.75" customHeight="1">
      <c r="A2350" s="4" t="s">
        <v>55</v>
      </c>
      <c r="B2350" s="7">
        <v>46095.0</v>
      </c>
      <c r="C2350" s="4" t="s">
        <v>861</v>
      </c>
      <c r="D2350" s="4" t="s">
        <v>3434</v>
      </c>
      <c r="E2350" s="8">
        <v>40.0</v>
      </c>
      <c r="F2350" s="4" t="str">
        <f t="shared" si="1"/>
        <v>500 &amp; Below</v>
      </c>
    </row>
    <row r="2351" ht="15.75" customHeight="1">
      <c r="A2351" s="4" t="s">
        <v>55</v>
      </c>
      <c r="B2351" s="7">
        <v>46095.0</v>
      </c>
      <c r="C2351" s="4" t="s">
        <v>861</v>
      </c>
      <c r="D2351" s="4" t="s">
        <v>113</v>
      </c>
      <c r="E2351" s="8">
        <v>60.0</v>
      </c>
      <c r="F2351" s="4" t="str">
        <f t="shared" si="1"/>
        <v>500 &amp; Below</v>
      </c>
    </row>
    <row r="2352" ht="15.75" customHeight="1">
      <c r="A2352" s="4" t="s">
        <v>55</v>
      </c>
      <c r="B2352" s="7">
        <v>46095.0</v>
      </c>
      <c r="C2352" s="4" t="s">
        <v>861</v>
      </c>
      <c r="D2352" s="4" t="s">
        <v>3488</v>
      </c>
      <c r="E2352" s="8">
        <v>6000.0</v>
      </c>
      <c r="F2352" s="4" t="str">
        <f t="shared" si="1"/>
        <v>Above 500</v>
      </c>
    </row>
    <row r="2353" ht="15.75" customHeight="1">
      <c r="A2353" s="4" t="s">
        <v>55</v>
      </c>
      <c r="B2353" s="7">
        <v>46095.0</v>
      </c>
      <c r="C2353" s="4" t="s">
        <v>861</v>
      </c>
      <c r="D2353" s="4" t="s">
        <v>3290</v>
      </c>
      <c r="E2353" s="8">
        <v>275.0</v>
      </c>
      <c r="F2353" s="4" t="str">
        <f t="shared" si="1"/>
        <v>500 &amp; Below</v>
      </c>
    </row>
    <row r="2354" ht="15.75" customHeight="1">
      <c r="A2354" s="4" t="s">
        <v>55</v>
      </c>
      <c r="B2354" s="7">
        <v>46095.0</v>
      </c>
      <c r="C2354" s="4" t="s">
        <v>861</v>
      </c>
      <c r="D2354" s="4" t="s">
        <v>3456</v>
      </c>
      <c r="E2354" s="8">
        <v>120.0</v>
      </c>
      <c r="F2354" s="4" t="str">
        <f t="shared" si="1"/>
        <v>500 &amp; Below</v>
      </c>
    </row>
    <row r="2355" ht="15.75" customHeight="1">
      <c r="A2355" s="4" t="s">
        <v>55</v>
      </c>
      <c r="B2355" s="7">
        <v>46095.0</v>
      </c>
      <c r="C2355" s="4" t="s">
        <v>861</v>
      </c>
      <c r="D2355" s="4" t="s">
        <v>72</v>
      </c>
      <c r="E2355" s="8">
        <v>200.0</v>
      </c>
      <c r="F2355" s="4" t="str">
        <f t="shared" si="1"/>
        <v>500 &amp; Below</v>
      </c>
    </row>
    <row r="2356" ht="15.75" customHeight="1">
      <c r="A2356" s="4" t="s">
        <v>55</v>
      </c>
      <c r="B2356" s="7">
        <v>46095.0</v>
      </c>
      <c r="C2356" s="4" t="s">
        <v>861</v>
      </c>
      <c r="D2356" s="4" t="s">
        <v>3483</v>
      </c>
      <c r="E2356" s="8">
        <v>45.0</v>
      </c>
      <c r="F2356" s="4" t="str">
        <f t="shared" si="1"/>
        <v>500 &amp; Below</v>
      </c>
    </row>
    <row r="2357" ht="15.75" customHeight="1">
      <c r="A2357" s="4" t="s">
        <v>55</v>
      </c>
      <c r="B2357" s="7">
        <v>46095.0</v>
      </c>
      <c r="C2357" s="4" t="s">
        <v>861</v>
      </c>
      <c r="D2357" s="4" t="s">
        <v>3505</v>
      </c>
      <c r="E2357" s="8">
        <v>100.0</v>
      </c>
      <c r="F2357" s="4" t="str">
        <f t="shared" si="1"/>
        <v>500 &amp; Below</v>
      </c>
    </row>
    <row r="2358" ht="15.75" customHeight="1">
      <c r="A2358" s="4" t="s">
        <v>55</v>
      </c>
      <c r="B2358" s="7">
        <v>46096.0</v>
      </c>
      <c r="C2358" s="4" t="s">
        <v>861</v>
      </c>
      <c r="D2358" s="4" t="s">
        <v>124</v>
      </c>
      <c r="E2358" s="8">
        <v>299.0</v>
      </c>
      <c r="F2358" s="4" t="str">
        <f t="shared" si="1"/>
        <v>500 &amp; Below</v>
      </c>
    </row>
    <row r="2359" ht="15.75" customHeight="1">
      <c r="A2359" s="4" t="s">
        <v>55</v>
      </c>
      <c r="B2359" s="7">
        <v>46096.0</v>
      </c>
      <c r="C2359" s="4" t="s">
        <v>861</v>
      </c>
      <c r="D2359" s="4" t="s">
        <v>3434</v>
      </c>
      <c r="E2359" s="8">
        <v>490.0</v>
      </c>
      <c r="F2359" s="4" t="str">
        <f t="shared" si="1"/>
        <v>500 &amp; Below</v>
      </c>
    </row>
    <row r="2360" ht="15.75" customHeight="1">
      <c r="A2360" s="4" t="s">
        <v>55</v>
      </c>
      <c r="B2360" s="7">
        <v>46096.0</v>
      </c>
      <c r="C2360" s="4" t="s">
        <v>861</v>
      </c>
      <c r="D2360" s="4" t="s">
        <v>2357</v>
      </c>
      <c r="E2360" s="8">
        <v>305.0</v>
      </c>
      <c r="F2360" s="4" t="str">
        <f t="shared" si="1"/>
        <v>500 &amp; Below</v>
      </c>
    </row>
    <row r="2361" ht="15.75" customHeight="1">
      <c r="A2361" s="4" t="s">
        <v>55</v>
      </c>
      <c r="B2361" s="7">
        <v>46096.0</v>
      </c>
      <c r="C2361" s="4" t="s">
        <v>861</v>
      </c>
      <c r="D2361" s="4" t="s">
        <v>3483</v>
      </c>
      <c r="E2361" s="8">
        <v>120.0</v>
      </c>
      <c r="F2361" s="4" t="str">
        <f t="shared" si="1"/>
        <v>500 &amp; Below</v>
      </c>
    </row>
    <row r="2362" ht="15.75" customHeight="1">
      <c r="A2362" s="4" t="s">
        <v>55</v>
      </c>
      <c r="B2362" s="7">
        <v>46096.0</v>
      </c>
      <c r="C2362" s="4" t="s">
        <v>861</v>
      </c>
      <c r="D2362" s="4" t="s">
        <v>37</v>
      </c>
      <c r="E2362" s="8">
        <v>29.0</v>
      </c>
      <c r="F2362" s="4" t="str">
        <f t="shared" si="1"/>
        <v>500 &amp; Below</v>
      </c>
    </row>
    <row r="2363" ht="15.75" customHeight="1">
      <c r="A2363" s="4" t="s">
        <v>55</v>
      </c>
      <c r="B2363" s="7">
        <v>46097.0</v>
      </c>
      <c r="C2363" s="4" t="s">
        <v>861</v>
      </c>
      <c r="D2363" s="4" t="s">
        <v>37</v>
      </c>
      <c r="E2363" s="8">
        <v>39.0</v>
      </c>
      <c r="F2363" s="4" t="str">
        <f t="shared" si="1"/>
        <v>500 &amp; Below</v>
      </c>
    </row>
    <row r="2364" ht="15.75" customHeight="1">
      <c r="A2364" s="4" t="s">
        <v>55</v>
      </c>
      <c r="B2364" s="7">
        <v>46098.0</v>
      </c>
      <c r="C2364" s="4" t="s">
        <v>861</v>
      </c>
      <c r="D2364" s="4" t="s">
        <v>3218</v>
      </c>
      <c r="E2364" s="8">
        <v>116.8</v>
      </c>
      <c r="F2364" s="4" t="str">
        <f t="shared" si="1"/>
        <v>500 &amp; Below</v>
      </c>
    </row>
    <row r="2365" ht="15.75" customHeight="1">
      <c r="A2365" s="4" t="s">
        <v>55</v>
      </c>
      <c r="B2365" s="7">
        <v>46098.0</v>
      </c>
      <c r="C2365" s="4" t="s">
        <v>861</v>
      </c>
      <c r="D2365" s="4" t="s">
        <v>2565</v>
      </c>
      <c r="E2365" s="8">
        <v>22.0</v>
      </c>
      <c r="F2365" s="4" t="str">
        <f t="shared" si="1"/>
        <v>500 &amp; Below</v>
      </c>
    </row>
    <row r="2366" ht="15.75" customHeight="1">
      <c r="A2366" s="4" t="s">
        <v>55</v>
      </c>
      <c r="B2366" s="7">
        <v>46098.0</v>
      </c>
      <c r="C2366" s="4" t="s">
        <v>861</v>
      </c>
      <c r="D2366" s="4" t="s">
        <v>1340</v>
      </c>
      <c r="E2366" s="8">
        <v>354.0</v>
      </c>
      <c r="F2366" s="4" t="str">
        <f t="shared" si="1"/>
        <v>500 &amp; Below</v>
      </c>
    </row>
    <row r="2367" ht="15.75" customHeight="1">
      <c r="A2367" s="4" t="s">
        <v>55</v>
      </c>
      <c r="B2367" s="7">
        <v>46099.0</v>
      </c>
      <c r="C2367" s="4" t="s">
        <v>861</v>
      </c>
      <c r="D2367" s="4" t="s">
        <v>2565</v>
      </c>
      <c r="E2367" s="8">
        <v>859.0</v>
      </c>
      <c r="F2367" s="4" t="str">
        <f t="shared" si="1"/>
        <v>Above 500</v>
      </c>
    </row>
    <row r="2368" ht="15.75" customHeight="1">
      <c r="A2368" s="4" t="s">
        <v>55</v>
      </c>
      <c r="B2368" s="7">
        <v>46099.0</v>
      </c>
      <c r="C2368" s="4" t="s">
        <v>861</v>
      </c>
      <c r="D2368" s="4" t="s">
        <v>3218</v>
      </c>
      <c r="E2368" s="8">
        <v>187.2</v>
      </c>
      <c r="F2368" s="4" t="str">
        <f t="shared" si="1"/>
        <v>500 &amp; Below</v>
      </c>
    </row>
    <row r="2369" ht="15.75" customHeight="1">
      <c r="A2369" s="4" t="s">
        <v>55</v>
      </c>
      <c r="B2369" s="7">
        <v>46099.0</v>
      </c>
      <c r="C2369" s="4" t="s">
        <v>861</v>
      </c>
      <c r="D2369" s="4" t="s">
        <v>46</v>
      </c>
      <c r="E2369" s="8">
        <v>900.0</v>
      </c>
      <c r="F2369" s="4" t="str">
        <f t="shared" si="1"/>
        <v>Above 500</v>
      </c>
    </row>
    <row r="2370" ht="15.75" customHeight="1">
      <c r="A2370" s="4" t="s">
        <v>55</v>
      </c>
      <c r="B2370" s="7">
        <v>46099.0</v>
      </c>
      <c r="C2370" s="4" t="s">
        <v>861</v>
      </c>
      <c r="D2370" s="4" t="s">
        <v>24</v>
      </c>
      <c r="E2370" s="8">
        <v>10.0</v>
      </c>
      <c r="F2370" s="4" t="str">
        <f t="shared" si="1"/>
        <v>500 &amp; Below</v>
      </c>
    </row>
    <row r="2371" ht="15.75" customHeight="1">
      <c r="A2371" s="4" t="s">
        <v>55</v>
      </c>
      <c r="B2371" s="7">
        <v>46100.0</v>
      </c>
      <c r="C2371" s="4" t="s">
        <v>861</v>
      </c>
      <c r="D2371" s="4" t="s">
        <v>24</v>
      </c>
      <c r="E2371" s="8">
        <v>20.0</v>
      </c>
      <c r="F2371" s="4" t="str">
        <f t="shared" si="1"/>
        <v>500 &amp; Below</v>
      </c>
    </row>
    <row r="2372" ht="15.75" customHeight="1">
      <c r="A2372" s="4" t="s">
        <v>55</v>
      </c>
      <c r="B2372" s="7">
        <v>46100.0</v>
      </c>
      <c r="C2372" s="4" t="s">
        <v>861</v>
      </c>
      <c r="D2372" s="4" t="s">
        <v>37</v>
      </c>
      <c r="E2372" s="8">
        <v>39.0</v>
      </c>
      <c r="F2372" s="4" t="str">
        <f t="shared" si="1"/>
        <v>500 &amp; Below</v>
      </c>
    </row>
    <row r="2373" ht="15.75" customHeight="1">
      <c r="A2373" s="4" t="s">
        <v>55</v>
      </c>
      <c r="B2373" s="7">
        <v>46101.0</v>
      </c>
      <c r="C2373" s="4" t="s">
        <v>861</v>
      </c>
      <c r="D2373" s="4" t="s">
        <v>3478</v>
      </c>
      <c r="E2373" s="8">
        <v>56.0</v>
      </c>
      <c r="F2373" s="4" t="str">
        <f t="shared" si="1"/>
        <v>500 &amp; Below</v>
      </c>
    </row>
    <row r="2374" ht="15.75" customHeight="1">
      <c r="A2374" s="4" t="s">
        <v>55</v>
      </c>
      <c r="B2374" s="7">
        <v>46101.0</v>
      </c>
      <c r="C2374" s="4" t="s">
        <v>861</v>
      </c>
      <c r="D2374" s="4" t="s">
        <v>948</v>
      </c>
      <c r="E2374" s="8">
        <v>1.0</v>
      </c>
      <c r="F2374" s="4" t="str">
        <f t="shared" si="1"/>
        <v>500 &amp; Below</v>
      </c>
    </row>
    <row r="2375" ht="15.75" customHeight="1">
      <c r="A2375" s="4" t="s">
        <v>55</v>
      </c>
      <c r="B2375" s="7">
        <v>46101.0</v>
      </c>
      <c r="C2375" s="4" t="s">
        <v>861</v>
      </c>
      <c r="D2375" s="4" t="s">
        <v>3506</v>
      </c>
      <c r="E2375" s="8">
        <v>7500.0</v>
      </c>
      <c r="F2375" s="4" t="str">
        <f t="shared" si="1"/>
        <v>Above 500</v>
      </c>
    </row>
    <row r="2376" ht="15.75" customHeight="1">
      <c r="A2376" s="4" t="s">
        <v>55</v>
      </c>
      <c r="B2376" s="7">
        <v>46102.0</v>
      </c>
      <c r="C2376" s="4" t="s">
        <v>861</v>
      </c>
      <c r="D2376" s="4" t="s">
        <v>72</v>
      </c>
      <c r="E2376" s="8">
        <v>200.0</v>
      </c>
      <c r="F2376" s="4" t="str">
        <f t="shared" si="1"/>
        <v>500 &amp; Below</v>
      </c>
    </row>
    <row r="2377" ht="15.75" customHeight="1">
      <c r="A2377" s="4" t="s">
        <v>55</v>
      </c>
      <c r="B2377" s="7">
        <v>46102.0</v>
      </c>
      <c r="C2377" s="4" t="s">
        <v>861</v>
      </c>
      <c r="D2377" s="4" t="s">
        <v>2431</v>
      </c>
      <c r="E2377" s="8">
        <v>900.0</v>
      </c>
      <c r="F2377" s="4" t="str">
        <f t="shared" si="1"/>
        <v>Above 500</v>
      </c>
    </row>
    <row r="2378" ht="15.75" customHeight="1">
      <c r="A2378" s="4" t="s">
        <v>55</v>
      </c>
      <c r="B2378" s="7">
        <v>46103.0</v>
      </c>
      <c r="C2378" s="4" t="s">
        <v>861</v>
      </c>
      <c r="D2378" s="4" t="s">
        <v>37</v>
      </c>
      <c r="E2378" s="8">
        <v>39.0</v>
      </c>
      <c r="F2378" s="4" t="str">
        <f t="shared" si="1"/>
        <v>500 &amp; Below</v>
      </c>
    </row>
    <row r="2379" ht="15.75" customHeight="1">
      <c r="A2379" s="4" t="s">
        <v>55</v>
      </c>
      <c r="B2379" s="7">
        <v>46104.0</v>
      </c>
      <c r="C2379" s="4" t="s">
        <v>861</v>
      </c>
      <c r="D2379" s="4" t="s">
        <v>956</v>
      </c>
      <c r="E2379" s="8">
        <v>30.0</v>
      </c>
      <c r="F2379" s="4" t="str">
        <f t="shared" si="1"/>
        <v>500 &amp; Below</v>
      </c>
    </row>
    <row r="2380" ht="15.75" customHeight="1">
      <c r="A2380" s="4" t="s">
        <v>55</v>
      </c>
      <c r="B2380" s="7">
        <v>46104.0</v>
      </c>
      <c r="C2380" s="4" t="s">
        <v>861</v>
      </c>
      <c r="D2380" s="4" t="s">
        <v>3218</v>
      </c>
      <c r="E2380" s="8">
        <v>280.6</v>
      </c>
      <c r="F2380" s="4" t="str">
        <f t="shared" si="1"/>
        <v>500 &amp; Below</v>
      </c>
    </row>
    <row r="2381" ht="15.75" customHeight="1">
      <c r="A2381" s="4" t="s">
        <v>55</v>
      </c>
      <c r="B2381" s="7">
        <v>46105.0</v>
      </c>
      <c r="C2381" s="4" t="s">
        <v>861</v>
      </c>
      <c r="D2381" s="4" t="s">
        <v>3507</v>
      </c>
      <c r="E2381" s="8">
        <v>198.0</v>
      </c>
      <c r="F2381" s="4" t="str">
        <f t="shared" si="1"/>
        <v>500 &amp; Below</v>
      </c>
    </row>
    <row r="2382" ht="15.75" customHeight="1">
      <c r="A2382" s="4" t="s">
        <v>55</v>
      </c>
      <c r="B2382" s="7">
        <v>46106.0</v>
      </c>
      <c r="C2382" s="4" t="s">
        <v>861</v>
      </c>
      <c r="D2382" s="4" t="s">
        <v>3291</v>
      </c>
      <c r="E2382" s="8">
        <v>700.0</v>
      </c>
      <c r="F2382" s="4" t="str">
        <f t="shared" si="1"/>
        <v>Above 500</v>
      </c>
    </row>
    <row r="2383" ht="15.75" customHeight="1">
      <c r="A2383" s="4" t="s">
        <v>55</v>
      </c>
      <c r="B2383" s="7">
        <v>46107.0</v>
      </c>
      <c r="C2383" s="4" t="s">
        <v>861</v>
      </c>
      <c r="D2383" s="4" t="s">
        <v>79</v>
      </c>
      <c r="E2383" s="8">
        <v>20.0</v>
      </c>
      <c r="F2383" s="4" t="str">
        <f t="shared" si="1"/>
        <v>500 &amp; Below</v>
      </c>
    </row>
    <row r="2384" ht="15.75" customHeight="1">
      <c r="A2384" s="4" t="s">
        <v>55</v>
      </c>
      <c r="B2384" s="7">
        <v>46108.0</v>
      </c>
      <c r="C2384" s="4" t="s">
        <v>861</v>
      </c>
      <c r="D2384" s="4" t="s">
        <v>37</v>
      </c>
      <c r="E2384" s="8">
        <v>39.0</v>
      </c>
      <c r="F2384" s="4" t="str">
        <f t="shared" si="1"/>
        <v>500 &amp; Below</v>
      </c>
    </row>
    <row r="2385" ht="15.75" customHeight="1">
      <c r="A2385" s="4" t="s">
        <v>55</v>
      </c>
      <c r="B2385" s="7">
        <v>46108.0</v>
      </c>
      <c r="C2385" s="4" t="s">
        <v>861</v>
      </c>
      <c r="D2385" s="4" t="s">
        <v>112</v>
      </c>
      <c r="E2385" s="8">
        <v>20.0</v>
      </c>
      <c r="F2385" s="4" t="str">
        <f t="shared" si="1"/>
        <v>500 &amp; Below</v>
      </c>
    </row>
    <row r="2386" ht="15.75" customHeight="1">
      <c r="A2386" s="4" t="s">
        <v>55</v>
      </c>
      <c r="B2386" s="7">
        <v>46110.0</v>
      </c>
      <c r="C2386" s="4" t="s">
        <v>861</v>
      </c>
      <c r="D2386" s="4" t="s">
        <v>37</v>
      </c>
      <c r="E2386" s="8">
        <v>319.0</v>
      </c>
      <c r="F2386" s="4" t="str">
        <f t="shared" si="1"/>
        <v>500 &amp; Below</v>
      </c>
    </row>
    <row r="2387" ht="15.75" customHeight="1">
      <c r="A2387" s="4" t="s">
        <v>55</v>
      </c>
      <c r="B2387" s="7">
        <v>46110.0</v>
      </c>
      <c r="C2387" s="4" t="s">
        <v>861</v>
      </c>
      <c r="D2387" s="4" t="s">
        <v>18</v>
      </c>
      <c r="E2387" s="8">
        <v>492.03</v>
      </c>
      <c r="F2387" s="4" t="str">
        <f t="shared" si="1"/>
        <v>500 &amp; Below</v>
      </c>
    </row>
    <row r="2388" ht="15.75" customHeight="1">
      <c r="A2388" s="4" t="s">
        <v>55</v>
      </c>
      <c r="B2388" s="7">
        <v>46110.0</v>
      </c>
      <c r="C2388" s="4" t="s">
        <v>861</v>
      </c>
      <c r="D2388" s="4" t="s">
        <v>3508</v>
      </c>
      <c r="E2388" s="8">
        <v>190.0</v>
      </c>
      <c r="F2388" s="4" t="str">
        <f t="shared" si="1"/>
        <v>500 &amp; Below</v>
      </c>
    </row>
    <row r="2389" ht="15.75" customHeight="1">
      <c r="A2389" s="4" t="s">
        <v>55</v>
      </c>
      <c r="B2389" s="7">
        <v>46110.0</v>
      </c>
      <c r="C2389" s="4" t="s">
        <v>861</v>
      </c>
      <c r="D2389" s="4" t="s">
        <v>3483</v>
      </c>
      <c r="E2389" s="8">
        <v>86.0</v>
      </c>
      <c r="F2389" s="4" t="str">
        <f t="shared" si="1"/>
        <v>500 &amp; Below</v>
      </c>
    </row>
    <row r="2390" ht="15.75" customHeight="1">
      <c r="A2390" s="4" t="s">
        <v>55</v>
      </c>
      <c r="B2390" s="7">
        <v>46110.0</v>
      </c>
      <c r="C2390" s="4" t="s">
        <v>861</v>
      </c>
      <c r="D2390" s="4" t="s">
        <v>928</v>
      </c>
      <c r="E2390" s="8">
        <v>120.0</v>
      </c>
      <c r="F2390" s="4" t="str">
        <f t="shared" si="1"/>
        <v>500 &amp; Below</v>
      </c>
    </row>
    <row r="2391" ht="15.75" customHeight="1">
      <c r="A2391" s="4" t="s">
        <v>55</v>
      </c>
      <c r="B2391" s="7">
        <v>46110.0</v>
      </c>
      <c r="C2391" s="4" t="s">
        <v>861</v>
      </c>
      <c r="D2391" s="4" t="s">
        <v>3218</v>
      </c>
      <c r="E2391" s="8">
        <v>187.0</v>
      </c>
      <c r="F2391" s="4" t="str">
        <f t="shared" si="1"/>
        <v>500 &amp; Below</v>
      </c>
    </row>
    <row r="2392" ht="15.75" customHeight="1">
      <c r="A2392" s="4" t="s">
        <v>55</v>
      </c>
      <c r="B2392" s="7">
        <v>46111.0</v>
      </c>
      <c r="C2392" s="4" t="s">
        <v>861</v>
      </c>
      <c r="D2392" s="4" t="s">
        <v>956</v>
      </c>
      <c r="E2392" s="8">
        <v>30.0</v>
      </c>
      <c r="F2392" s="4" t="str">
        <f t="shared" si="1"/>
        <v>500 &amp; Below</v>
      </c>
    </row>
    <row r="2393" ht="15.75" customHeight="1">
      <c r="A2393" s="4" t="s">
        <v>55</v>
      </c>
      <c r="B2393" s="7">
        <v>46111.0</v>
      </c>
      <c r="C2393" s="4" t="s">
        <v>861</v>
      </c>
      <c r="D2393" s="4" t="s">
        <v>37</v>
      </c>
      <c r="E2393" s="8">
        <v>39.0</v>
      </c>
      <c r="F2393" s="4" t="str">
        <f t="shared" si="1"/>
        <v>500 &amp; Below</v>
      </c>
    </row>
    <row r="2394" ht="15.75" customHeight="1">
      <c r="A2394" s="4" t="s">
        <v>55</v>
      </c>
      <c r="B2394" s="7">
        <v>46112.0</v>
      </c>
      <c r="C2394" s="4" t="s">
        <v>861</v>
      </c>
      <c r="D2394" s="4" t="s">
        <v>2357</v>
      </c>
      <c r="E2394" s="8">
        <v>305.0</v>
      </c>
      <c r="F2394" s="4" t="str">
        <f t="shared" si="1"/>
        <v>500 &amp; Below</v>
      </c>
    </row>
    <row r="2395" ht="15.75" customHeight="1">
      <c r="A2395" s="4" t="s">
        <v>55</v>
      </c>
      <c r="B2395" s="7">
        <v>46112.0</v>
      </c>
      <c r="C2395" s="4" t="s">
        <v>861</v>
      </c>
      <c r="D2395" s="4" t="s">
        <v>3478</v>
      </c>
      <c r="E2395" s="8">
        <v>20.0</v>
      </c>
      <c r="F2395" s="4" t="str">
        <f t="shared" si="1"/>
        <v>500 &amp; Below</v>
      </c>
    </row>
  </sheetData>
  <conditionalFormatting sqref="F1:F2395">
    <cfRule type="containsText" dxfId="0" priority="1" operator="containsText" text="500 &amp; below">
      <formula>NOT(ISERROR(SEARCH(("500 &amp; below"),(F1))))</formula>
    </cfRule>
  </conditionalFormatting>
  <conditionalFormatting sqref="F1:F2395">
    <cfRule type="containsText" dxfId="1" priority="2" operator="containsText" text="Above 500">
      <formula>NOT(ISERROR(SEARCH(("Above 500"),(F1))))</formula>
    </cfRule>
  </conditionalFormatting>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14.0"/>
    <col customWidth="1" min="3" max="3" width="18.0"/>
    <col customWidth="1" min="4" max="5" width="20.0"/>
    <col customWidth="1" min="6" max="6" width="18.0"/>
    <col customWidth="1" min="7" max="26" width="8.71"/>
  </cols>
  <sheetData>
    <row r="1">
      <c r="A1" s="2" t="s">
        <v>1</v>
      </c>
    </row>
    <row r="3">
      <c r="A3" s="5" t="s">
        <v>10</v>
      </c>
      <c r="B3" s="5" t="s">
        <v>3</v>
      </c>
      <c r="C3" s="5" t="s">
        <v>13</v>
      </c>
      <c r="D3" s="5" t="s">
        <v>14</v>
      </c>
      <c r="E3" s="5" t="s">
        <v>15</v>
      </c>
      <c r="F3" s="5" t="s">
        <v>16</v>
      </c>
    </row>
    <row r="4">
      <c r="A4" s="4" t="s">
        <v>8</v>
      </c>
      <c r="B4" s="4" t="s">
        <v>12</v>
      </c>
      <c r="C4" s="4">
        <f>COUNTIFS('Debit Transactions'!$A$2:$A$2395,$A4,'Debit Transactions'!$F$2:$F$2395,$B4)</f>
        <v>197</v>
      </c>
      <c r="D4" s="8">
        <f>SUMIFS('Debit Transactions'!$E$2:$E$2395,'Debit Transactions'!$A$2:$A$2395,$A4,'Debit Transactions'!$F$2:$F$2395,$B4)</f>
        <v>475236.92</v>
      </c>
      <c r="E4" s="8">
        <f t="shared" ref="E4:E9" si="1">IFERROR(D4/C4,0)</f>
        <v>2412.370152</v>
      </c>
      <c r="F4" s="12">
        <f>IFERROR(D4/D6,0)</f>
        <v>0.8131930737</v>
      </c>
    </row>
    <row r="5">
      <c r="A5" s="4" t="s">
        <v>8</v>
      </c>
      <c r="B5" s="4" t="s">
        <v>31</v>
      </c>
      <c r="C5" s="4">
        <f>COUNTIFS('Debit Transactions'!$A$2:$A$2395,$A5,'Debit Transactions'!$F$2:$F$2395,$B5)</f>
        <v>863</v>
      </c>
      <c r="D5" s="8">
        <f>SUMIFS('Debit Transactions'!$E$2:$E$2395,'Debit Transactions'!$A$2:$A$2395,$A5,'Debit Transactions'!$F$2:$F$2395,$B5)</f>
        <v>109171.55</v>
      </c>
      <c r="E5" s="8">
        <f t="shared" si="1"/>
        <v>126.5023754</v>
      </c>
      <c r="F5" s="12">
        <f>IFERROR(D5/D6,0)</f>
        <v>0.1868069263</v>
      </c>
    </row>
    <row r="6">
      <c r="A6" s="13" t="s">
        <v>8</v>
      </c>
      <c r="B6" s="13" t="s">
        <v>54</v>
      </c>
      <c r="C6" s="13">
        <f t="shared" ref="C6:D6" si="2">SUM(C4:C5)</f>
        <v>1060</v>
      </c>
      <c r="D6" s="14">
        <f t="shared" si="2"/>
        <v>584408.47</v>
      </c>
      <c r="E6" s="14">
        <f t="shared" si="1"/>
        <v>551.3287453</v>
      </c>
      <c r="F6" s="12">
        <v>1.0</v>
      </c>
    </row>
    <row r="7">
      <c r="A7" s="4" t="s">
        <v>55</v>
      </c>
      <c r="B7" s="4" t="s">
        <v>12</v>
      </c>
      <c r="C7" s="4">
        <f>COUNTIFS('Debit Transactions'!$A$2:$A$2395,$A7,'Debit Transactions'!$F$2:$F$2395,$B7)</f>
        <v>207</v>
      </c>
      <c r="D7" s="8">
        <f>SUMIFS('Debit Transactions'!$E$2:$E$2395,'Debit Transactions'!$A$2:$A$2395,$A7,'Debit Transactions'!$F$2:$F$2395,$B7)</f>
        <v>398033.31</v>
      </c>
      <c r="E7" s="8">
        <f t="shared" si="1"/>
        <v>1922.866232</v>
      </c>
      <c r="F7" s="12">
        <f>IFERROR(D7/D9,0)</f>
        <v>0.7427637677</v>
      </c>
    </row>
    <row r="8">
      <c r="A8" s="4" t="s">
        <v>55</v>
      </c>
      <c r="B8" s="4" t="s">
        <v>31</v>
      </c>
      <c r="C8" s="4">
        <f>COUNTIFS('Debit Transactions'!$A$2:$A$2395,$A8,'Debit Transactions'!$F$2:$F$2395,$B8)</f>
        <v>1127</v>
      </c>
      <c r="D8" s="8">
        <f>SUMIFS('Debit Transactions'!$E$2:$E$2395,'Debit Transactions'!$A$2:$A$2395,$A8,'Debit Transactions'!$F$2:$F$2395,$B8)</f>
        <v>137848.12</v>
      </c>
      <c r="E8" s="8">
        <f t="shared" si="1"/>
        <v>122.3142147</v>
      </c>
      <c r="F8" s="12">
        <f>IFERROR(D8/D9,0)</f>
        <v>0.2572362323</v>
      </c>
    </row>
    <row r="9">
      <c r="A9" s="13" t="s">
        <v>55</v>
      </c>
      <c r="B9" s="13" t="s">
        <v>54</v>
      </c>
      <c r="C9" s="13">
        <f t="shared" ref="C9:D9" si="3">SUM(C7:C8)</f>
        <v>1334</v>
      </c>
      <c r="D9" s="14">
        <f t="shared" si="3"/>
        <v>535881.43</v>
      </c>
      <c r="E9" s="14">
        <f t="shared" si="1"/>
        <v>401.7102174</v>
      </c>
      <c r="F9" s="12">
        <v>1.0</v>
      </c>
    </row>
    <row r="11">
      <c r="A11" s="15" t="s">
        <v>66</v>
      </c>
      <c r="B11" s="16"/>
      <c r="C11" s="13">
        <f t="shared" ref="C11:D11" si="4">C6+C9</f>
        <v>2394</v>
      </c>
      <c r="D11" s="14">
        <f t="shared" si="4"/>
        <v>1120289.9</v>
      </c>
      <c r="E11" s="17"/>
      <c r="F11" s="17"/>
    </row>
    <row r="13">
      <c r="A13" s="18">
        <f>AVERAGE(D5,D8)</f>
        <v>123509.835</v>
      </c>
      <c r="B13" s="19">
        <f>SQRT((2*A13*0.3)/0.025)</f>
        <v>1721.695687</v>
      </c>
    </row>
    <row r="14">
      <c r="A14" s="19">
        <f>A13/12</f>
        <v>10292.48625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11:B1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10.0"/>
    <col customWidth="1" min="3" max="3" width="16.0"/>
    <col customWidth="1" min="4" max="6" width="18.0"/>
    <col customWidth="1" min="7" max="7" width="16.0"/>
    <col customWidth="1" min="8" max="26" width="8.71"/>
  </cols>
  <sheetData>
    <row r="1">
      <c r="A1" s="2" t="s">
        <v>2</v>
      </c>
    </row>
    <row r="3">
      <c r="A3" s="5" t="s">
        <v>10</v>
      </c>
      <c r="B3" s="5" t="s">
        <v>5</v>
      </c>
      <c r="C3" s="5" t="s">
        <v>19</v>
      </c>
      <c r="D3" s="5" t="s">
        <v>20</v>
      </c>
      <c r="E3" s="5" t="s">
        <v>21</v>
      </c>
      <c r="F3" s="5" t="s">
        <v>22</v>
      </c>
      <c r="G3" s="5" t="s">
        <v>23</v>
      </c>
    </row>
    <row r="4">
      <c r="A4" s="4" t="s">
        <v>8</v>
      </c>
      <c r="B4" s="4" t="s">
        <v>17</v>
      </c>
      <c r="C4" s="4">
        <f>COUNTIFS('Debit Transactions'!$A$2:$A$2395,$A4,'Debit Transactions'!$C$2:$C$2395,$B4,'Debit Transactions'!$F$2:$F$2395,"Above 500")</f>
        <v>7</v>
      </c>
      <c r="D4" s="8">
        <f>SUMIFS('Debit Transactions'!$E$2:$E$2395,'Debit Transactions'!$A$2:$A$2395,$A4,'Debit Transactions'!$C$2:$C$2395,$B4,'Debit Transactions'!$F$2:$F$2395,"Above 500")</f>
        <v>12814</v>
      </c>
      <c r="E4" s="4">
        <f>COUNTIFS('Debit Transactions'!$A$2:$A$2395,$A4,'Debit Transactions'!$C$2:$C$2395,$B4,'Debit Transactions'!$F$2:$F$2395,"500 &amp; Below")</f>
        <v>35</v>
      </c>
      <c r="F4" s="8">
        <f>SUMIFS('Debit Transactions'!$E$2:$E$2395,'Debit Transactions'!$A$2:$A$2395,$A4,'Debit Transactions'!$C$2:$C$2395,$B4,'Debit Transactions'!$F$2:$F$2395,"500 &amp; Below")</f>
        <v>3485.89</v>
      </c>
      <c r="G4" s="8">
        <f t="shared" ref="G4:G27" si="1">D4+F4</f>
        <v>16299.89</v>
      </c>
    </row>
    <row r="5">
      <c r="A5" s="4" t="s">
        <v>8</v>
      </c>
      <c r="B5" s="4" t="s">
        <v>49</v>
      </c>
      <c r="C5" s="4">
        <f>COUNTIFS('Debit Transactions'!$A$2:$A$2395,$A5,'Debit Transactions'!$C$2:$C$2395,$B5,'Debit Transactions'!$F$2:$F$2395,"Above 500")</f>
        <v>17</v>
      </c>
      <c r="D5" s="8">
        <f>SUMIFS('Debit Transactions'!$E$2:$E$2395,'Debit Transactions'!$A$2:$A$2395,$A5,'Debit Transactions'!$C$2:$C$2395,$B5,'Debit Transactions'!$F$2:$F$2395,"Above 500")</f>
        <v>40808.8</v>
      </c>
      <c r="E5" s="4">
        <f>COUNTIFS('Debit Transactions'!$A$2:$A$2395,$A5,'Debit Transactions'!$C$2:$C$2395,$B5,'Debit Transactions'!$F$2:$F$2395,"500 &amp; Below")</f>
        <v>33</v>
      </c>
      <c r="F5" s="8">
        <f>SUMIFS('Debit Transactions'!$E$2:$E$2395,'Debit Transactions'!$A$2:$A$2395,$A5,'Debit Transactions'!$C$2:$C$2395,$B5,'Debit Transactions'!$F$2:$F$2395,"500 &amp; Below")</f>
        <v>4037</v>
      </c>
      <c r="G5" s="8">
        <f t="shared" si="1"/>
        <v>44845.8</v>
      </c>
    </row>
    <row r="6">
      <c r="A6" s="4" t="s">
        <v>8</v>
      </c>
      <c r="B6" s="4" t="s">
        <v>63</v>
      </c>
      <c r="C6" s="4">
        <f>COUNTIFS('Debit Transactions'!$A$2:$A$2395,$A6,'Debit Transactions'!$C$2:$C$2395,$B6,'Debit Transactions'!$F$2:$F$2395,"Above 500")</f>
        <v>14</v>
      </c>
      <c r="D6" s="8">
        <f>SUMIFS('Debit Transactions'!$E$2:$E$2395,'Debit Transactions'!$A$2:$A$2395,$A6,'Debit Transactions'!$C$2:$C$2395,$B6,'Debit Transactions'!$F$2:$F$2395,"Above 500")</f>
        <v>24251.58</v>
      </c>
      <c r="E6" s="4">
        <f>COUNTIFS('Debit Transactions'!$A$2:$A$2395,$A6,'Debit Transactions'!$C$2:$C$2395,$B6,'Debit Transactions'!$F$2:$F$2395,"500 &amp; Below")</f>
        <v>61</v>
      </c>
      <c r="F6" s="8">
        <f>SUMIFS('Debit Transactions'!$E$2:$E$2395,'Debit Transactions'!$A$2:$A$2395,$A6,'Debit Transactions'!$C$2:$C$2395,$B6,'Debit Transactions'!$F$2:$F$2395,"500 &amp; Below")</f>
        <v>8457.8</v>
      </c>
      <c r="G6" s="8">
        <f t="shared" si="1"/>
        <v>32709.38</v>
      </c>
    </row>
    <row r="7">
      <c r="A7" s="4" t="s">
        <v>8</v>
      </c>
      <c r="B7" s="4" t="s">
        <v>71</v>
      </c>
      <c r="C7" s="4">
        <f>COUNTIFS('Debit Transactions'!$A$2:$A$2395,$A7,'Debit Transactions'!$C$2:$C$2395,$B7,'Debit Transactions'!$F$2:$F$2395,"Above 500")</f>
        <v>17</v>
      </c>
      <c r="D7" s="8">
        <f>SUMIFS('Debit Transactions'!$E$2:$E$2395,'Debit Transactions'!$A$2:$A$2395,$A7,'Debit Transactions'!$C$2:$C$2395,$B7,'Debit Transactions'!$F$2:$F$2395,"Above 500")</f>
        <v>36470.49</v>
      </c>
      <c r="E7" s="4">
        <f>COUNTIFS('Debit Transactions'!$A$2:$A$2395,$A7,'Debit Transactions'!$C$2:$C$2395,$B7,'Debit Transactions'!$F$2:$F$2395,"500 &amp; Below")</f>
        <v>78</v>
      </c>
      <c r="F7" s="8">
        <f>SUMIFS('Debit Transactions'!$E$2:$E$2395,'Debit Transactions'!$A$2:$A$2395,$A7,'Debit Transactions'!$C$2:$C$2395,$B7,'Debit Transactions'!$F$2:$F$2395,"500 &amp; Below")</f>
        <v>8636.77</v>
      </c>
      <c r="G7" s="8">
        <f t="shared" si="1"/>
        <v>45107.26</v>
      </c>
    </row>
    <row r="8">
      <c r="A8" s="4" t="s">
        <v>8</v>
      </c>
      <c r="B8" s="4" t="s">
        <v>83</v>
      </c>
      <c r="C8" s="4">
        <f>COUNTIFS('Debit Transactions'!$A$2:$A$2395,$A8,'Debit Transactions'!$C$2:$C$2395,$B8,'Debit Transactions'!$F$2:$F$2395,"Above 500")</f>
        <v>25</v>
      </c>
      <c r="D8" s="8">
        <f>SUMIFS('Debit Transactions'!$E$2:$E$2395,'Debit Transactions'!$A$2:$A$2395,$A8,'Debit Transactions'!$C$2:$C$2395,$B8,'Debit Transactions'!$F$2:$F$2395,"Above 500")</f>
        <v>35688.36</v>
      </c>
      <c r="E8" s="4">
        <f>COUNTIFS('Debit Transactions'!$A$2:$A$2395,$A8,'Debit Transactions'!$C$2:$C$2395,$B8,'Debit Transactions'!$F$2:$F$2395,"500 &amp; Below")</f>
        <v>98</v>
      </c>
      <c r="F8" s="8">
        <f>SUMIFS('Debit Transactions'!$E$2:$E$2395,'Debit Transactions'!$A$2:$A$2395,$A8,'Debit Transactions'!$C$2:$C$2395,$B8,'Debit Transactions'!$F$2:$F$2395,"500 &amp; Below")</f>
        <v>11876.76</v>
      </c>
      <c r="G8" s="8">
        <f t="shared" si="1"/>
        <v>47565.12</v>
      </c>
    </row>
    <row r="9">
      <c r="A9" s="4" t="s">
        <v>8</v>
      </c>
      <c r="B9" s="4" t="s">
        <v>95</v>
      </c>
      <c r="C9" s="4">
        <f>COUNTIFS('Debit Transactions'!$A$2:$A$2395,$A9,'Debit Transactions'!$C$2:$C$2395,$B9,'Debit Transactions'!$F$2:$F$2395,"Above 500")</f>
        <v>18</v>
      </c>
      <c r="D9" s="8">
        <f>SUMIFS('Debit Transactions'!$E$2:$E$2395,'Debit Transactions'!$A$2:$A$2395,$A9,'Debit Transactions'!$C$2:$C$2395,$B9,'Debit Transactions'!$F$2:$F$2395,"Above 500")</f>
        <v>78034</v>
      </c>
      <c r="E9" s="4">
        <f>COUNTIFS('Debit Transactions'!$A$2:$A$2395,$A9,'Debit Transactions'!$C$2:$C$2395,$B9,'Debit Transactions'!$F$2:$F$2395,"500 &amp; Below")</f>
        <v>96</v>
      </c>
      <c r="F9" s="8">
        <f>SUMIFS('Debit Transactions'!$E$2:$E$2395,'Debit Transactions'!$A$2:$A$2395,$A9,'Debit Transactions'!$C$2:$C$2395,$B9,'Debit Transactions'!$F$2:$F$2395,"500 &amp; Below")</f>
        <v>9569.17</v>
      </c>
      <c r="G9" s="8">
        <f t="shared" si="1"/>
        <v>87603.17</v>
      </c>
    </row>
    <row r="10">
      <c r="A10" s="4" t="s">
        <v>8</v>
      </c>
      <c r="B10" s="4" t="s">
        <v>100</v>
      </c>
      <c r="C10" s="4">
        <f>COUNTIFS('Debit Transactions'!$A$2:$A$2395,$A10,'Debit Transactions'!$C$2:$C$2395,$B10,'Debit Transactions'!$F$2:$F$2395,"Above 500")</f>
        <v>17</v>
      </c>
      <c r="D10" s="8">
        <f>SUMIFS('Debit Transactions'!$E$2:$E$2395,'Debit Transactions'!$A$2:$A$2395,$A10,'Debit Transactions'!$C$2:$C$2395,$B10,'Debit Transactions'!$F$2:$F$2395,"Above 500")</f>
        <v>61117.18</v>
      </c>
      <c r="E10" s="4">
        <f>COUNTIFS('Debit Transactions'!$A$2:$A$2395,$A10,'Debit Transactions'!$C$2:$C$2395,$B10,'Debit Transactions'!$F$2:$F$2395,"500 &amp; Below")</f>
        <v>84</v>
      </c>
      <c r="F10" s="8">
        <f>SUMIFS('Debit Transactions'!$E$2:$E$2395,'Debit Transactions'!$A$2:$A$2395,$A10,'Debit Transactions'!$C$2:$C$2395,$B10,'Debit Transactions'!$F$2:$F$2395,"500 &amp; Below")</f>
        <v>13885.58</v>
      </c>
      <c r="G10" s="8">
        <f t="shared" si="1"/>
        <v>75002.76</v>
      </c>
    </row>
    <row r="11">
      <c r="A11" s="4" t="s">
        <v>8</v>
      </c>
      <c r="B11" s="4" t="s">
        <v>109</v>
      </c>
      <c r="C11" s="4">
        <f>COUNTIFS('Debit Transactions'!$A$2:$A$2395,$A11,'Debit Transactions'!$C$2:$C$2395,$B11,'Debit Transactions'!$F$2:$F$2395,"Above 500")</f>
        <v>21</v>
      </c>
      <c r="D11" s="8">
        <f>SUMIFS('Debit Transactions'!$E$2:$E$2395,'Debit Transactions'!$A$2:$A$2395,$A11,'Debit Transactions'!$C$2:$C$2395,$B11,'Debit Transactions'!$F$2:$F$2395,"Above 500")</f>
        <v>62155</v>
      </c>
      <c r="E11" s="4">
        <f>COUNTIFS('Debit Transactions'!$A$2:$A$2395,$A11,'Debit Transactions'!$C$2:$C$2395,$B11,'Debit Transactions'!$F$2:$F$2395,"500 &amp; Below")</f>
        <v>79</v>
      </c>
      <c r="F11" s="8">
        <f>SUMIFS('Debit Transactions'!$E$2:$E$2395,'Debit Transactions'!$A$2:$A$2395,$A11,'Debit Transactions'!$C$2:$C$2395,$B11,'Debit Transactions'!$F$2:$F$2395,"500 &amp; Below")</f>
        <v>10806.52</v>
      </c>
      <c r="G11" s="8">
        <f t="shared" si="1"/>
        <v>72961.52</v>
      </c>
    </row>
    <row r="12">
      <c r="A12" s="4" t="s">
        <v>8</v>
      </c>
      <c r="B12" s="4" t="s">
        <v>116</v>
      </c>
      <c r="C12" s="4">
        <f>COUNTIFS('Debit Transactions'!$A$2:$A$2395,$A12,'Debit Transactions'!$C$2:$C$2395,$B12,'Debit Transactions'!$F$2:$F$2395,"Above 500")</f>
        <v>11</v>
      </c>
      <c r="D12" s="8">
        <f>SUMIFS('Debit Transactions'!$E$2:$E$2395,'Debit Transactions'!$A$2:$A$2395,$A12,'Debit Transactions'!$C$2:$C$2395,$B12,'Debit Transactions'!$F$2:$F$2395,"Above 500")</f>
        <v>13363</v>
      </c>
      <c r="E12" s="4">
        <f>COUNTIFS('Debit Transactions'!$A$2:$A$2395,$A12,'Debit Transactions'!$C$2:$C$2395,$B12,'Debit Transactions'!$F$2:$F$2395,"500 &amp; Below")</f>
        <v>78</v>
      </c>
      <c r="F12" s="8">
        <f>SUMIFS('Debit Transactions'!$E$2:$E$2395,'Debit Transactions'!$A$2:$A$2395,$A12,'Debit Transactions'!$C$2:$C$2395,$B12,'Debit Transactions'!$F$2:$F$2395,"500 &amp; Below")</f>
        <v>9668</v>
      </c>
      <c r="G12" s="8">
        <f t="shared" si="1"/>
        <v>23031</v>
      </c>
    </row>
    <row r="13">
      <c r="A13" s="4" t="s">
        <v>8</v>
      </c>
      <c r="B13" s="4" t="s">
        <v>125</v>
      </c>
      <c r="C13" s="4">
        <f>COUNTIFS('Debit Transactions'!$A$2:$A$2395,$A13,'Debit Transactions'!$C$2:$C$2395,$B13,'Debit Transactions'!$F$2:$F$2395,"Above 500")</f>
        <v>13</v>
      </c>
      <c r="D13" s="8">
        <f>SUMIFS('Debit Transactions'!$E$2:$E$2395,'Debit Transactions'!$A$2:$A$2395,$A13,'Debit Transactions'!$C$2:$C$2395,$B13,'Debit Transactions'!$F$2:$F$2395,"Above 500")</f>
        <v>18571</v>
      </c>
      <c r="E13" s="4">
        <f>COUNTIFS('Debit Transactions'!$A$2:$A$2395,$A13,'Debit Transactions'!$C$2:$C$2395,$B13,'Debit Transactions'!$F$2:$F$2395,"500 &amp; Below")</f>
        <v>85</v>
      </c>
      <c r="F13" s="8">
        <f>SUMIFS('Debit Transactions'!$E$2:$E$2395,'Debit Transactions'!$A$2:$A$2395,$A13,'Debit Transactions'!$C$2:$C$2395,$B13,'Debit Transactions'!$F$2:$F$2395,"500 &amp; Below")</f>
        <v>11779.71</v>
      </c>
      <c r="G13" s="8">
        <f t="shared" si="1"/>
        <v>30350.71</v>
      </c>
    </row>
    <row r="14">
      <c r="A14" s="4" t="s">
        <v>8</v>
      </c>
      <c r="B14" s="4" t="s">
        <v>140</v>
      </c>
      <c r="C14" s="4">
        <f>COUNTIFS('Debit Transactions'!$A$2:$A$2395,$A14,'Debit Transactions'!$C$2:$C$2395,$B14,'Debit Transactions'!$F$2:$F$2395,"Above 500")</f>
        <v>19</v>
      </c>
      <c r="D14" s="8">
        <f>SUMIFS('Debit Transactions'!$E$2:$E$2395,'Debit Transactions'!$A$2:$A$2395,$A14,'Debit Transactions'!$C$2:$C$2395,$B14,'Debit Transactions'!$F$2:$F$2395,"Above 500")</f>
        <v>48620.41</v>
      </c>
      <c r="E14" s="4">
        <f>COUNTIFS('Debit Transactions'!$A$2:$A$2395,$A14,'Debit Transactions'!$C$2:$C$2395,$B14,'Debit Transactions'!$F$2:$F$2395,"500 &amp; Below")</f>
        <v>75</v>
      </c>
      <c r="F14" s="8">
        <f>SUMIFS('Debit Transactions'!$E$2:$E$2395,'Debit Transactions'!$A$2:$A$2395,$A14,'Debit Transactions'!$C$2:$C$2395,$B14,'Debit Transactions'!$F$2:$F$2395,"500 &amp; Below")</f>
        <v>9537.15</v>
      </c>
      <c r="G14" s="8">
        <f t="shared" si="1"/>
        <v>58157.56</v>
      </c>
    </row>
    <row r="15">
      <c r="A15" s="4" t="s">
        <v>8</v>
      </c>
      <c r="B15" s="4" t="s">
        <v>196</v>
      </c>
      <c r="C15" s="4">
        <f>COUNTIFS('Debit Transactions'!$A$2:$A$2395,$A15,'Debit Transactions'!$C$2:$C$2395,$B15,'Debit Transactions'!$F$2:$F$2395,"Above 500")</f>
        <v>18</v>
      </c>
      <c r="D15" s="8">
        <f>SUMIFS('Debit Transactions'!$E$2:$E$2395,'Debit Transactions'!$A$2:$A$2395,$A15,'Debit Transactions'!$C$2:$C$2395,$B15,'Debit Transactions'!$F$2:$F$2395,"Above 500")</f>
        <v>43343.1</v>
      </c>
      <c r="E15" s="4">
        <f>COUNTIFS('Debit Transactions'!$A$2:$A$2395,$A15,'Debit Transactions'!$C$2:$C$2395,$B15,'Debit Transactions'!$F$2:$F$2395,"500 &amp; Below")</f>
        <v>61</v>
      </c>
      <c r="F15" s="8">
        <f>SUMIFS('Debit Transactions'!$E$2:$E$2395,'Debit Transactions'!$A$2:$A$2395,$A15,'Debit Transactions'!$C$2:$C$2395,$B15,'Debit Transactions'!$F$2:$F$2395,"500 &amp; Below")</f>
        <v>7431.2</v>
      </c>
      <c r="G15" s="8">
        <f t="shared" si="1"/>
        <v>50774.3</v>
      </c>
    </row>
    <row r="16">
      <c r="A16" s="4" t="s">
        <v>55</v>
      </c>
      <c r="B16" s="4" t="s">
        <v>274</v>
      </c>
      <c r="C16" s="4">
        <f>COUNTIFS('Debit Transactions'!$A$2:$A$2395,$A16,'Debit Transactions'!$C$2:$C$2395,$B16,'Debit Transactions'!$F$2:$F$2395,"Above 500")</f>
        <v>16</v>
      </c>
      <c r="D16" s="8">
        <f>SUMIFS('Debit Transactions'!$E$2:$E$2395,'Debit Transactions'!$A$2:$A$2395,$A16,'Debit Transactions'!$C$2:$C$2395,$B16,'Debit Transactions'!$F$2:$F$2395,"Above 500")</f>
        <v>26330.7</v>
      </c>
      <c r="E16" s="4">
        <f>COUNTIFS('Debit Transactions'!$A$2:$A$2395,$A16,'Debit Transactions'!$C$2:$C$2395,$B16,'Debit Transactions'!$F$2:$F$2395,"500 &amp; Below")</f>
        <v>80</v>
      </c>
      <c r="F16" s="8">
        <f>SUMIFS('Debit Transactions'!$E$2:$E$2395,'Debit Transactions'!$A$2:$A$2395,$A16,'Debit Transactions'!$C$2:$C$2395,$B16,'Debit Transactions'!$F$2:$F$2395,"500 &amp; Below")</f>
        <v>9479.29</v>
      </c>
      <c r="G16" s="8">
        <f t="shared" si="1"/>
        <v>35809.99</v>
      </c>
    </row>
    <row r="17">
      <c r="A17" s="4" t="s">
        <v>55</v>
      </c>
      <c r="B17" s="4" t="s">
        <v>335</v>
      </c>
      <c r="C17" s="4">
        <f>COUNTIFS('Debit Transactions'!$A$2:$A$2395,$A17,'Debit Transactions'!$C$2:$C$2395,$B17,'Debit Transactions'!$F$2:$F$2395,"Above 500")</f>
        <v>20</v>
      </c>
      <c r="D17" s="8">
        <f>SUMIFS('Debit Transactions'!$E$2:$E$2395,'Debit Transactions'!$A$2:$A$2395,$A17,'Debit Transactions'!$C$2:$C$2395,$B17,'Debit Transactions'!$F$2:$F$2395,"Above 500")</f>
        <v>47012</v>
      </c>
      <c r="E17" s="4">
        <f>COUNTIFS('Debit Transactions'!$A$2:$A$2395,$A17,'Debit Transactions'!$C$2:$C$2395,$B17,'Debit Transactions'!$F$2:$F$2395,"500 &amp; Below")</f>
        <v>99</v>
      </c>
      <c r="F17" s="8">
        <f>SUMIFS('Debit Transactions'!$E$2:$E$2395,'Debit Transactions'!$A$2:$A$2395,$A17,'Debit Transactions'!$C$2:$C$2395,$B17,'Debit Transactions'!$F$2:$F$2395,"500 &amp; Below")</f>
        <v>11698.67</v>
      </c>
      <c r="G17" s="8">
        <f t="shared" si="1"/>
        <v>58710.67</v>
      </c>
    </row>
    <row r="18">
      <c r="A18" s="4" t="s">
        <v>55</v>
      </c>
      <c r="B18" s="4" t="s">
        <v>390</v>
      </c>
      <c r="C18" s="4">
        <f>COUNTIFS('Debit Transactions'!$A$2:$A$2395,$A18,'Debit Transactions'!$C$2:$C$2395,$B18,'Debit Transactions'!$F$2:$F$2395,"Above 500")</f>
        <v>17</v>
      </c>
      <c r="D18" s="8">
        <f>SUMIFS('Debit Transactions'!$E$2:$E$2395,'Debit Transactions'!$A$2:$A$2395,$A18,'Debit Transactions'!$C$2:$C$2395,$B18,'Debit Transactions'!$F$2:$F$2395,"Above 500")</f>
        <v>36956.86</v>
      </c>
      <c r="E18" s="4">
        <f>COUNTIFS('Debit Transactions'!$A$2:$A$2395,$A18,'Debit Transactions'!$C$2:$C$2395,$B18,'Debit Transactions'!$F$2:$F$2395,"500 &amp; Below")</f>
        <v>74</v>
      </c>
      <c r="F18" s="8">
        <f>SUMIFS('Debit Transactions'!$E$2:$E$2395,'Debit Transactions'!$A$2:$A$2395,$A18,'Debit Transactions'!$C$2:$C$2395,$B18,'Debit Transactions'!$F$2:$F$2395,"500 &amp; Below")</f>
        <v>8791.36</v>
      </c>
      <c r="G18" s="8">
        <f t="shared" si="1"/>
        <v>45748.22</v>
      </c>
    </row>
    <row r="19">
      <c r="A19" s="4" t="s">
        <v>55</v>
      </c>
      <c r="B19" s="4" t="s">
        <v>425</v>
      </c>
      <c r="C19" s="4">
        <f>COUNTIFS('Debit Transactions'!$A$2:$A$2395,$A19,'Debit Transactions'!$C$2:$C$2395,$B19,'Debit Transactions'!$F$2:$F$2395,"Above 500")</f>
        <v>12</v>
      </c>
      <c r="D19" s="8">
        <f>SUMIFS('Debit Transactions'!$E$2:$E$2395,'Debit Transactions'!$A$2:$A$2395,$A19,'Debit Transactions'!$C$2:$C$2395,$B19,'Debit Transactions'!$F$2:$F$2395,"Above 500")</f>
        <v>31225</v>
      </c>
      <c r="E19" s="4">
        <f>COUNTIFS('Debit Transactions'!$A$2:$A$2395,$A19,'Debit Transactions'!$C$2:$C$2395,$B19,'Debit Transactions'!$F$2:$F$2395,"500 &amp; Below")</f>
        <v>63</v>
      </c>
      <c r="F19" s="8">
        <f>SUMIFS('Debit Transactions'!$E$2:$E$2395,'Debit Transactions'!$A$2:$A$2395,$A19,'Debit Transactions'!$C$2:$C$2395,$B19,'Debit Transactions'!$F$2:$F$2395,"500 &amp; Below")</f>
        <v>7753.18</v>
      </c>
      <c r="G19" s="8">
        <f t="shared" si="1"/>
        <v>38978.18</v>
      </c>
    </row>
    <row r="20">
      <c r="A20" s="4" t="s">
        <v>55</v>
      </c>
      <c r="B20" s="4" t="s">
        <v>474</v>
      </c>
      <c r="C20" s="4">
        <f>COUNTIFS('Debit Transactions'!$A$2:$A$2395,$A20,'Debit Transactions'!$C$2:$C$2395,$B20,'Debit Transactions'!$F$2:$F$2395,"Above 500")</f>
        <v>13</v>
      </c>
      <c r="D20" s="8">
        <f>SUMIFS('Debit Transactions'!$E$2:$E$2395,'Debit Transactions'!$A$2:$A$2395,$A20,'Debit Transactions'!$C$2:$C$2395,$B20,'Debit Transactions'!$F$2:$F$2395,"Above 500")</f>
        <v>20568</v>
      </c>
      <c r="E20" s="4">
        <f>COUNTIFS('Debit Transactions'!$A$2:$A$2395,$A20,'Debit Transactions'!$C$2:$C$2395,$B20,'Debit Transactions'!$F$2:$F$2395,"500 &amp; Below")</f>
        <v>72</v>
      </c>
      <c r="F20" s="8">
        <f>SUMIFS('Debit Transactions'!$E$2:$E$2395,'Debit Transactions'!$A$2:$A$2395,$A20,'Debit Transactions'!$C$2:$C$2395,$B20,'Debit Transactions'!$F$2:$F$2395,"500 &amp; Below")</f>
        <v>8511.2</v>
      </c>
      <c r="G20" s="8">
        <f t="shared" si="1"/>
        <v>29079.2</v>
      </c>
    </row>
    <row r="21" ht="15.75" customHeight="1">
      <c r="A21" s="4" t="s">
        <v>55</v>
      </c>
      <c r="B21" s="4" t="s">
        <v>536</v>
      </c>
      <c r="C21" s="4">
        <f>COUNTIFS('Debit Transactions'!$A$2:$A$2395,$A21,'Debit Transactions'!$C$2:$C$2395,$B21,'Debit Transactions'!$F$2:$F$2395,"Above 500")</f>
        <v>15</v>
      </c>
      <c r="D21" s="8">
        <f>SUMIFS('Debit Transactions'!$E$2:$E$2395,'Debit Transactions'!$A$2:$A$2395,$A21,'Debit Transactions'!$C$2:$C$2395,$B21,'Debit Transactions'!$F$2:$F$2395,"Above 500")</f>
        <v>22484.95</v>
      </c>
      <c r="E21" s="4">
        <f>COUNTIFS('Debit Transactions'!$A$2:$A$2395,$A21,'Debit Transactions'!$C$2:$C$2395,$B21,'Debit Transactions'!$F$2:$F$2395,"500 &amp; Below")</f>
        <v>88</v>
      </c>
      <c r="F21" s="8">
        <f>SUMIFS('Debit Transactions'!$E$2:$E$2395,'Debit Transactions'!$A$2:$A$2395,$A21,'Debit Transactions'!$C$2:$C$2395,$B21,'Debit Transactions'!$F$2:$F$2395,"500 &amp; Below")</f>
        <v>9432.24</v>
      </c>
      <c r="G21" s="8">
        <f t="shared" si="1"/>
        <v>31917.19</v>
      </c>
    </row>
    <row r="22" ht="15.75" customHeight="1">
      <c r="A22" s="4" t="s">
        <v>55</v>
      </c>
      <c r="B22" s="4" t="s">
        <v>594</v>
      </c>
      <c r="C22" s="4">
        <f>COUNTIFS('Debit Transactions'!$A$2:$A$2395,$A22,'Debit Transactions'!$C$2:$C$2395,$B22,'Debit Transactions'!$F$2:$F$2395,"Above 500")</f>
        <v>30</v>
      </c>
      <c r="D22" s="8">
        <f>SUMIFS('Debit Transactions'!$E$2:$E$2395,'Debit Transactions'!$A$2:$A$2395,$A22,'Debit Transactions'!$C$2:$C$2395,$B22,'Debit Transactions'!$F$2:$F$2395,"Above 500")</f>
        <v>55511.28</v>
      </c>
      <c r="E22" s="4">
        <f>COUNTIFS('Debit Transactions'!$A$2:$A$2395,$A22,'Debit Transactions'!$C$2:$C$2395,$B22,'Debit Transactions'!$F$2:$F$2395,"500 &amp; Below")</f>
        <v>156</v>
      </c>
      <c r="F22" s="8">
        <f>SUMIFS('Debit Transactions'!$E$2:$E$2395,'Debit Transactions'!$A$2:$A$2395,$A22,'Debit Transactions'!$C$2:$C$2395,$B22,'Debit Transactions'!$F$2:$F$2395,"500 &amp; Below")</f>
        <v>16713.27</v>
      </c>
      <c r="G22" s="8">
        <f t="shared" si="1"/>
        <v>72224.55</v>
      </c>
    </row>
    <row r="23" ht="15.75" customHeight="1">
      <c r="A23" s="4" t="s">
        <v>55</v>
      </c>
      <c r="B23" s="4" t="s">
        <v>631</v>
      </c>
      <c r="C23" s="4">
        <f>COUNTIFS('Debit Transactions'!$A$2:$A$2395,$A23,'Debit Transactions'!$C$2:$C$2395,$B23,'Debit Transactions'!$F$2:$F$2395,"Above 500")</f>
        <v>23</v>
      </c>
      <c r="D23" s="8">
        <f>SUMIFS('Debit Transactions'!$E$2:$E$2395,'Debit Transactions'!$A$2:$A$2395,$A23,'Debit Transactions'!$C$2:$C$2395,$B23,'Debit Transactions'!$F$2:$F$2395,"Above 500")</f>
        <v>39796.8</v>
      </c>
      <c r="E23" s="4">
        <f>COUNTIFS('Debit Transactions'!$A$2:$A$2395,$A23,'Debit Transactions'!$C$2:$C$2395,$B23,'Debit Transactions'!$F$2:$F$2395,"500 &amp; Below")</f>
        <v>162</v>
      </c>
      <c r="F23" s="8">
        <f>SUMIFS('Debit Transactions'!$E$2:$E$2395,'Debit Transactions'!$A$2:$A$2395,$A23,'Debit Transactions'!$C$2:$C$2395,$B23,'Debit Transactions'!$F$2:$F$2395,"500 &amp; Below")</f>
        <v>21536.77</v>
      </c>
      <c r="G23" s="8">
        <f t="shared" si="1"/>
        <v>61333.57</v>
      </c>
    </row>
    <row r="24" ht="15.75" customHeight="1">
      <c r="A24" s="4" t="s">
        <v>55</v>
      </c>
      <c r="B24" s="4" t="s">
        <v>694</v>
      </c>
      <c r="C24" s="4">
        <f>COUNTIFS('Debit Transactions'!$A$2:$A$2395,$A24,'Debit Transactions'!$C$2:$C$2395,$B24,'Debit Transactions'!$F$2:$F$2395,"Above 500")</f>
        <v>20</v>
      </c>
      <c r="D24" s="8">
        <f>SUMIFS('Debit Transactions'!$E$2:$E$2395,'Debit Transactions'!$A$2:$A$2395,$A24,'Debit Transactions'!$C$2:$C$2395,$B24,'Debit Transactions'!$F$2:$F$2395,"Above 500")</f>
        <v>52303</v>
      </c>
      <c r="E24" s="4">
        <f>COUNTIFS('Debit Transactions'!$A$2:$A$2395,$A24,'Debit Transactions'!$C$2:$C$2395,$B24,'Debit Transactions'!$F$2:$F$2395,"500 &amp; Below")</f>
        <v>93</v>
      </c>
      <c r="F24" s="8">
        <f>SUMIFS('Debit Transactions'!$E$2:$E$2395,'Debit Transactions'!$A$2:$A$2395,$A24,'Debit Transactions'!$C$2:$C$2395,$B24,'Debit Transactions'!$F$2:$F$2395,"500 &amp; Below")</f>
        <v>12502.21</v>
      </c>
      <c r="G24" s="8">
        <f t="shared" si="1"/>
        <v>64805.21</v>
      </c>
    </row>
    <row r="25" ht="15.75" customHeight="1">
      <c r="A25" s="4" t="s">
        <v>55</v>
      </c>
      <c r="B25" s="4" t="s">
        <v>747</v>
      </c>
      <c r="C25" s="4">
        <f>COUNTIFS('Debit Transactions'!$A$2:$A$2395,$A25,'Debit Transactions'!$C$2:$C$2395,$B25,'Debit Transactions'!$F$2:$F$2395,"Above 500")</f>
        <v>14</v>
      </c>
      <c r="D25" s="8">
        <f>SUMIFS('Debit Transactions'!$E$2:$E$2395,'Debit Transactions'!$A$2:$A$2395,$A25,'Debit Transactions'!$C$2:$C$2395,$B25,'Debit Transactions'!$F$2:$F$2395,"Above 500")</f>
        <v>19903.52</v>
      </c>
      <c r="E25" s="4">
        <f>COUNTIFS('Debit Transactions'!$A$2:$A$2395,$A25,'Debit Transactions'!$C$2:$C$2395,$B25,'Debit Transactions'!$F$2:$F$2395,"500 &amp; Below")</f>
        <v>84</v>
      </c>
      <c r="F25" s="8">
        <f>SUMIFS('Debit Transactions'!$E$2:$E$2395,'Debit Transactions'!$A$2:$A$2395,$A25,'Debit Transactions'!$C$2:$C$2395,$B25,'Debit Transactions'!$F$2:$F$2395,"500 &amp; Below")</f>
        <v>10528.75</v>
      </c>
      <c r="G25" s="8">
        <f t="shared" si="1"/>
        <v>30432.27</v>
      </c>
    </row>
    <row r="26" ht="15.75" customHeight="1">
      <c r="A26" s="4" t="s">
        <v>55</v>
      </c>
      <c r="B26" s="4" t="s">
        <v>797</v>
      </c>
      <c r="C26" s="4">
        <f>COUNTIFS('Debit Transactions'!$A$2:$A$2395,$A26,'Debit Transactions'!$C$2:$C$2395,$B26,'Debit Transactions'!$F$2:$F$2395,"Above 500")</f>
        <v>12</v>
      </c>
      <c r="D26" s="8">
        <f>SUMIFS('Debit Transactions'!$E$2:$E$2395,'Debit Transactions'!$A$2:$A$2395,$A26,'Debit Transactions'!$C$2:$C$2395,$B26,'Debit Transactions'!$F$2:$F$2395,"Above 500")</f>
        <v>17598.2</v>
      </c>
      <c r="E26" s="4">
        <f>COUNTIFS('Debit Transactions'!$A$2:$A$2395,$A26,'Debit Transactions'!$C$2:$C$2395,$B26,'Debit Transactions'!$F$2:$F$2395,"500 &amp; Below")</f>
        <v>92</v>
      </c>
      <c r="F26" s="8">
        <f>SUMIFS('Debit Transactions'!$E$2:$E$2395,'Debit Transactions'!$A$2:$A$2395,$A26,'Debit Transactions'!$C$2:$C$2395,$B26,'Debit Transactions'!$F$2:$F$2395,"500 &amp; Below")</f>
        <v>11160.54</v>
      </c>
      <c r="G26" s="8">
        <f t="shared" si="1"/>
        <v>28758.74</v>
      </c>
    </row>
    <row r="27" ht="15.75" customHeight="1">
      <c r="A27" s="4" t="s">
        <v>55</v>
      </c>
      <c r="B27" s="4" t="s">
        <v>861</v>
      </c>
      <c r="C27" s="4">
        <f>COUNTIFS('Debit Transactions'!$A$2:$A$2395,$A27,'Debit Transactions'!$C$2:$C$2395,$B27,'Debit Transactions'!$F$2:$F$2395,"Above 500")</f>
        <v>15</v>
      </c>
      <c r="D27" s="8">
        <f>SUMIFS('Debit Transactions'!$E$2:$E$2395,'Debit Transactions'!$A$2:$A$2395,$A27,'Debit Transactions'!$C$2:$C$2395,$B27,'Debit Transactions'!$F$2:$F$2395,"Above 500")</f>
        <v>28343</v>
      </c>
      <c r="E27" s="4">
        <f>COUNTIFS('Debit Transactions'!$A$2:$A$2395,$A27,'Debit Transactions'!$C$2:$C$2395,$B27,'Debit Transactions'!$F$2:$F$2395,"500 &amp; Below")</f>
        <v>64</v>
      </c>
      <c r="F27" s="8">
        <f>SUMIFS('Debit Transactions'!$E$2:$E$2395,'Debit Transactions'!$A$2:$A$2395,$A27,'Debit Transactions'!$C$2:$C$2395,$B27,'Debit Transactions'!$F$2:$F$2395,"500 &amp; Below")</f>
        <v>9740.64</v>
      </c>
      <c r="G27" s="8">
        <f t="shared" si="1"/>
        <v>38083.64</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29"/>
    <col customWidth="1" min="2" max="2" width="18.0"/>
    <col customWidth="1" min="3" max="3" width="16.57"/>
  </cols>
  <sheetData>
    <row r="1">
      <c r="A1" s="3" t="s">
        <v>3</v>
      </c>
      <c r="B1" s="3" t="s">
        <v>9</v>
      </c>
      <c r="C1" s="3" t="s">
        <v>11</v>
      </c>
    </row>
    <row r="2">
      <c r="A2" s="6" t="s">
        <v>12</v>
      </c>
      <c r="B2" s="6">
        <f>COUNTIFS('Debit Transactions'!A:A, "FY2024-25", 'Debit Transactions'!F:F, A2)</f>
        <v>197</v>
      </c>
      <c r="C2" s="9">
        <f>SUMIFS('Debit Transactions'!E:E, 'Debit Transactions'!A:A, "FY2024-25", 'Debit Transactions'!F:F, A2)</f>
        <v>475236.92</v>
      </c>
    </row>
    <row r="3">
      <c r="A3" s="10" t="s">
        <v>31</v>
      </c>
      <c r="B3" s="10">
        <f>COUNTIFS('Debit Transactions'!A:A, "FY2024-25", 'Debit Transactions'!F:F, A3)</f>
        <v>863</v>
      </c>
      <c r="C3" s="11">
        <f>SUMIFS('Debit Transactions'!E:E, 'Debit Transactions'!A:A, "FY2024-25", 'Debit Transactions'!F:F, A3)</f>
        <v>109171.55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29"/>
    <col customWidth="1" min="2" max="2" width="18.0"/>
    <col customWidth="1" min="3" max="3" width="16.57"/>
  </cols>
  <sheetData>
    <row r="1">
      <c r="A1" s="3" t="s">
        <v>3</v>
      </c>
      <c r="B1" s="3" t="s">
        <v>9</v>
      </c>
      <c r="C1" s="3" t="s">
        <v>11</v>
      </c>
    </row>
    <row r="2">
      <c r="A2" s="6" t="s">
        <v>12</v>
      </c>
      <c r="B2" s="6">
        <f>COUNTIFS('Debit Transactions'!A:A, "FY2025-26", 'Debit Transactions'!F:F, A2)</f>
        <v>207</v>
      </c>
      <c r="C2" s="9">
        <f>SUMIFS('Debit Transactions'!E:E, 'Debit Transactions'!A:A, "FY2025-26", 'Debit Transactions'!F:F, A2)</f>
        <v>398033.31</v>
      </c>
    </row>
    <row r="3">
      <c r="A3" s="10" t="s">
        <v>31</v>
      </c>
      <c r="B3" s="10">
        <f>COUNTIFS('Debit Transactions'!A:A, "FY2025-26", 'Debit Transactions'!F:F, A3)</f>
        <v>1127</v>
      </c>
      <c r="C3" s="11">
        <f>SUMIFS('Debit Transactions'!E:E, 'Debit Transactions'!A:A, "FY2025-26", 'Debit Transactions'!F:F, A3)</f>
        <v>137848.12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43"/>
    <col customWidth="1" min="2" max="2" width="20.0"/>
    <col customWidth="1" min="3" max="3" width="54.86"/>
    <col customWidth="1" min="4" max="5" width="29.14"/>
    <col customWidth="1" min="6" max="6" width="29.29"/>
    <col customWidth="1" min="7" max="7" width="29.14"/>
    <col customWidth="1" min="8" max="8" width="13.86"/>
  </cols>
  <sheetData>
    <row r="1" ht="24.0" customHeight="1">
      <c r="A1" s="20" t="s">
        <v>126</v>
      </c>
      <c r="B1" s="20" t="s">
        <v>127</v>
      </c>
      <c r="C1" s="20" t="s">
        <v>128</v>
      </c>
      <c r="D1" s="20" t="s">
        <v>129</v>
      </c>
      <c r="E1" s="20" t="s">
        <v>131</v>
      </c>
      <c r="F1" s="20" t="s">
        <v>132</v>
      </c>
      <c r="G1" s="20" t="s">
        <v>133</v>
      </c>
      <c r="H1" s="20" t="s">
        <v>134</v>
      </c>
    </row>
    <row r="2" ht="24.0" customHeight="1">
      <c r="A2" s="21" t="s">
        <v>135</v>
      </c>
      <c r="B2" s="22"/>
      <c r="C2" s="22"/>
      <c r="D2" s="22"/>
      <c r="E2" s="22"/>
      <c r="F2" s="22"/>
      <c r="G2" s="22"/>
      <c r="H2" s="23"/>
    </row>
    <row r="3">
      <c r="A3" s="24">
        <v>1.0</v>
      </c>
      <c r="B3" s="25" t="s">
        <v>141</v>
      </c>
      <c r="C3" s="26" t="s">
        <v>142</v>
      </c>
      <c r="D3" s="26" t="s">
        <v>143</v>
      </c>
      <c r="E3" s="26" t="s">
        <v>144</v>
      </c>
      <c r="F3" s="26" t="s">
        <v>145</v>
      </c>
      <c r="G3" s="26" t="s">
        <v>147</v>
      </c>
      <c r="H3" s="27" t="s">
        <v>148</v>
      </c>
    </row>
    <row r="4">
      <c r="A4" s="24">
        <v>2.0</v>
      </c>
      <c r="B4" s="25" t="s">
        <v>141</v>
      </c>
      <c r="C4" s="26" t="s">
        <v>149</v>
      </c>
      <c r="D4" s="26" t="s">
        <v>150</v>
      </c>
      <c r="E4" s="26" t="s">
        <v>151</v>
      </c>
      <c r="F4" s="26" t="s">
        <v>152</v>
      </c>
      <c r="G4" s="26" t="s">
        <v>153</v>
      </c>
      <c r="H4" s="27" t="s">
        <v>154</v>
      </c>
    </row>
    <row r="5">
      <c r="A5" s="24">
        <v>3.0</v>
      </c>
      <c r="B5" s="25" t="s">
        <v>141</v>
      </c>
      <c r="C5" s="26" t="s">
        <v>155</v>
      </c>
      <c r="D5" s="26" t="s">
        <v>156</v>
      </c>
      <c r="E5" s="26" t="s">
        <v>157</v>
      </c>
      <c r="F5" s="26" t="s">
        <v>158</v>
      </c>
      <c r="G5" s="26" t="s">
        <v>160</v>
      </c>
      <c r="H5" s="27" t="s">
        <v>161</v>
      </c>
    </row>
    <row r="6">
      <c r="A6" s="24">
        <v>4.0</v>
      </c>
      <c r="B6" s="25" t="s">
        <v>141</v>
      </c>
      <c r="C6" s="26" t="s">
        <v>162</v>
      </c>
      <c r="D6" s="26" t="s">
        <v>163</v>
      </c>
      <c r="E6" s="26" t="s">
        <v>164</v>
      </c>
      <c r="F6" s="26" t="s">
        <v>165</v>
      </c>
      <c r="G6" s="26" t="s">
        <v>166</v>
      </c>
      <c r="H6" s="27" t="s">
        <v>161</v>
      </c>
    </row>
    <row r="7">
      <c r="A7" s="24">
        <v>5.0</v>
      </c>
      <c r="B7" s="25" t="s">
        <v>141</v>
      </c>
      <c r="C7" s="26" t="s">
        <v>167</v>
      </c>
      <c r="D7" s="26" t="s">
        <v>169</v>
      </c>
      <c r="E7" s="26" t="s">
        <v>170</v>
      </c>
      <c r="F7" s="26" t="s">
        <v>171</v>
      </c>
      <c r="G7" s="26" t="s">
        <v>172</v>
      </c>
      <c r="H7" s="27" t="s">
        <v>173</v>
      </c>
    </row>
    <row r="8">
      <c r="A8" s="24">
        <v>6.0</v>
      </c>
      <c r="B8" s="25" t="s">
        <v>141</v>
      </c>
      <c r="C8" s="26" t="s">
        <v>175</v>
      </c>
      <c r="D8" s="26" t="s">
        <v>176</v>
      </c>
      <c r="E8" s="26" t="s">
        <v>177</v>
      </c>
      <c r="F8" s="26" t="s">
        <v>178</v>
      </c>
      <c r="G8" s="26" t="s">
        <v>179</v>
      </c>
      <c r="H8" s="27" t="s">
        <v>173</v>
      </c>
    </row>
    <row r="9">
      <c r="A9" s="24">
        <v>7.0</v>
      </c>
      <c r="B9" s="25" t="s">
        <v>141</v>
      </c>
      <c r="C9" s="26" t="s">
        <v>180</v>
      </c>
      <c r="D9" s="26" t="s">
        <v>181</v>
      </c>
      <c r="E9" s="26" t="s">
        <v>182</v>
      </c>
      <c r="F9" s="26" t="s">
        <v>171</v>
      </c>
      <c r="G9" s="26" t="s">
        <v>172</v>
      </c>
      <c r="H9" s="27" t="s">
        <v>161</v>
      </c>
    </row>
    <row r="10">
      <c r="A10" s="24">
        <v>8.0</v>
      </c>
      <c r="B10" s="25" t="s">
        <v>141</v>
      </c>
      <c r="C10" s="26" t="s">
        <v>183</v>
      </c>
      <c r="D10" s="26" t="s">
        <v>184</v>
      </c>
      <c r="E10" s="26" t="s">
        <v>185</v>
      </c>
      <c r="F10" s="26" t="s">
        <v>186</v>
      </c>
      <c r="G10" s="26" t="s">
        <v>187</v>
      </c>
      <c r="H10" s="27" t="s">
        <v>173</v>
      </c>
    </row>
    <row r="11">
      <c r="A11" s="24">
        <v>9.0</v>
      </c>
      <c r="B11" s="25" t="s">
        <v>141</v>
      </c>
      <c r="C11" s="26" t="s">
        <v>188</v>
      </c>
      <c r="D11" s="26" t="s">
        <v>189</v>
      </c>
      <c r="E11" s="26" t="s">
        <v>190</v>
      </c>
      <c r="F11" s="26" t="s">
        <v>192</v>
      </c>
      <c r="G11" s="26" t="s">
        <v>193</v>
      </c>
      <c r="H11" s="27" t="s">
        <v>173</v>
      </c>
    </row>
    <row r="12">
      <c r="A12" s="24">
        <v>10.0</v>
      </c>
      <c r="B12" s="25" t="s">
        <v>141</v>
      </c>
      <c r="C12" s="26" t="s">
        <v>195</v>
      </c>
      <c r="D12" s="26" t="b">
        <v>1</v>
      </c>
      <c r="E12" s="26" t="b">
        <v>0</v>
      </c>
      <c r="F12" s="26" t="s">
        <v>197</v>
      </c>
      <c r="G12" s="26" t="s">
        <v>179</v>
      </c>
      <c r="H12" s="27" t="s">
        <v>173</v>
      </c>
    </row>
    <row r="13">
      <c r="A13" s="24">
        <v>11.0</v>
      </c>
      <c r="B13" s="25" t="s">
        <v>141</v>
      </c>
      <c r="C13" s="26" t="s">
        <v>199</v>
      </c>
      <c r="D13" s="26" t="s">
        <v>200</v>
      </c>
      <c r="E13" s="26" t="s">
        <v>201</v>
      </c>
      <c r="F13" s="26" t="s">
        <v>202</v>
      </c>
      <c r="G13" s="26" t="s">
        <v>179</v>
      </c>
      <c r="H13" s="27" t="s">
        <v>161</v>
      </c>
    </row>
    <row r="14">
      <c r="A14" s="24">
        <v>12.0</v>
      </c>
      <c r="B14" s="25" t="s">
        <v>141</v>
      </c>
      <c r="C14" s="26" t="s">
        <v>204</v>
      </c>
      <c r="D14" s="26" t="s">
        <v>205</v>
      </c>
      <c r="E14" s="26" t="s">
        <v>206</v>
      </c>
      <c r="F14" s="26" t="s">
        <v>207</v>
      </c>
      <c r="G14" s="26" t="s">
        <v>208</v>
      </c>
      <c r="H14" s="27" t="s">
        <v>173</v>
      </c>
    </row>
    <row r="15">
      <c r="A15" s="24">
        <v>13.0</v>
      </c>
      <c r="B15" s="25" t="s">
        <v>141</v>
      </c>
      <c r="C15" s="26" t="s">
        <v>210</v>
      </c>
      <c r="D15" s="26" t="s">
        <v>211</v>
      </c>
      <c r="E15" s="26" t="s">
        <v>212</v>
      </c>
      <c r="F15" s="26" t="s">
        <v>213</v>
      </c>
      <c r="G15" s="26" t="s">
        <v>153</v>
      </c>
      <c r="H15" s="27" t="s">
        <v>154</v>
      </c>
    </row>
    <row r="16">
      <c r="A16" s="24">
        <v>14.0</v>
      </c>
      <c r="B16" s="25" t="s">
        <v>141</v>
      </c>
      <c r="C16" s="26" t="s">
        <v>215</v>
      </c>
      <c r="D16" s="26" t="s">
        <v>216</v>
      </c>
      <c r="E16" s="26" t="s">
        <v>217</v>
      </c>
      <c r="F16" s="26" t="s">
        <v>219</v>
      </c>
      <c r="G16" s="26" t="s">
        <v>179</v>
      </c>
      <c r="H16" s="27" t="s">
        <v>173</v>
      </c>
    </row>
    <row r="17">
      <c r="A17" s="24">
        <v>15.0</v>
      </c>
      <c r="B17" s="25" t="s">
        <v>141</v>
      </c>
      <c r="C17" s="26" t="s">
        <v>220</v>
      </c>
      <c r="D17" s="26" t="s">
        <v>221</v>
      </c>
      <c r="E17" s="26" t="s">
        <v>222</v>
      </c>
      <c r="F17" s="26" t="s">
        <v>223</v>
      </c>
      <c r="G17" s="26" t="s">
        <v>224</v>
      </c>
      <c r="H17" s="27" t="s">
        <v>148</v>
      </c>
    </row>
    <row r="18">
      <c r="A18" s="24">
        <v>16.0</v>
      </c>
      <c r="B18" s="25" t="s">
        <v>141</v>
      </c>
      <c r="C18" s="26" t="s">
        <v>225</v>
      </c>
      <c r="D18" s="26" t="s">
        <v>143</v>
      </c>
      <c r="E18" s="26" t="s">
        <v>226</v>
      </c>
      <c r="F18" s="26" t="s">
        <v>227</v>
      </c>
      <c r="G18" s="26" t="s">
        <v>153</v>
      </c>
      <c r="H18" s="27" t="s">
        <v>154</v>
      </c>
    </row>
    <row r="19">
      <c r="A19" s="24">
        <v>17.0</v>
      </c>
      <c r="B19" s="25" t="s">
        <v>141</v>
      </c>
      <c r="C19" s="26" t="s">
        <v>228</v>
      </c>
      <c r="D19" s="26" t="s">
        <v>229</v>
      </c>
      <c r="E19" s="26" t="s">
        <v>230</v>
      </c>
      <c r="F19" s="26" t="s">
        <v>171</v>
      </c>
      <c r="G19" s="26" t="s">
        <v>172</v>
      </c>
      <c r="H19" s="27" t="s">
        <v>148</v>
      </c>
    </row>
    <row r="20">
      <c r="A20" s="24">
        <v>18.0</v>
      </c>
      <c r="B20" s="25" t="s">
        <v>141</v>
      </c>
      <c r="C20" s="26" t="s">
        <v>232</v>
      </c>
      <c r="D20" s="26" t="s">
        <v>226</v>
      </c>
      <c r="E20" s="26" t="s">
        <v>233</v>
      </c>
      <c r="F20" s="26" t="s">
        <v>234</v>
      </c>
      <c r="G20" s="26" t="s">
        <v>153</v>
      </c>
      <c r="H20" s="27" t="s">
        <v>154</v>
      </c>
    </row>
    <row r="21">
      <c r="A21" s="24">
        <v>19.0</v>
      </c>
      <c r="B21" s="25" t="s">
        <v>141</v>
      </c>
      <c r="C21" s="26" t="s">
        <v>235</v>
      </c>
      <c r="D21" s="26" t="s">
        <v>236</v>
      </c>
      <c r="E21" s="26" t="s">
        <v>237</v>
      </c>
      <c r="F21" s="26" t="s">
        <v>171</v>
      </c>
      <c r="G21" s="26" t="s">
        <v>172</v>
      </c>
      <c r="H21" s="27" t="s">
        <v>161</v>
      </c>
    </row>
    <row r="22">
      <c r="A22" s="24">
        <v>20.0</v>
      </c>
      <c r="B22" s="25" t="s">
        <v>141</v>
      </c>
      <c r="C22" s="26" t="s">
        <v>239</v>
      </c>
      <c r="D22" s="26" t="s">
        <v>240</v>
      </c>
      <c r="E22" s="26" t="s">
        <v>241</v>
      </c>
      <c r="F22" s="26" t="s">
        <v>242</v>
      </c>
      <c r="G22" s="26" t="s">
        <v>179</v>
      </c>
      <c r="H22" s="27" t="s">
        <v>173</v>
      </c>
    </row>
    <row r="23">
      <c r="A23" s="24">
        <v>21.0</v>
      </c>
      <c r="B23" s="25" t="s">
        <v>141</v>
      </c>
      <c r="C23" s="26" t="s">
        <v>243</v>
      </c>
      <c r="D23" s="26" t="s">
        <v>244</v>
      </c>
      <c r="E23" s="26" t="s">
        <v>245</v>
      </c>
      <c r="F23" s="26" t="s">
        <v>171</v>
      </c>
      <c r="G23" s="26" t="s">
        <v>172</v>
      </c>
      <c r="H23" s="27" t="s">
        <v>148</v>
      </c>
    </row>
    <row r="24">
      <c r="A24" s="24">
        <v>22.0</v>
      </c>
      <c r="B24" s="25" t="s">
        <v>141</v>
      </c>
      <c r="C24" s="26" t="s">
        <v>247</v>
      </c>
      <c r="D24" s="26" t="s">
        <v>244</v>
      </c>
      <c r="E24" s="26" t="s">
        <v>248</v>
      </c>
      <c r="F24" s="26" t="s">
        <v>249</v>
      </c>
      <c r="G24" s="26" t="s">
        <v>250</v>
      </c>
      <c r="H24" s="27" t="s">
        <v>154</v>
      </c>
    </row>
    <row r="25">
      <c r="A25" s="24">
        <v>23.0</v>
      </c>
      <c r="B25" s="25" t="s">
        <v>141</v>
      </c>
      <c r="C25" s="26" t="s">
        <v>251</v>
      </c>
      <c r="D25" s="26" t="s">
        <v>252</v>
      </c>
      <c r="E25" s="26" t="s">
        <v>253</v>
      </c>
      <c r="F25" s="26" t="s">
        <v>254</v>
      </c>
      <c r="G25" s="26" t="s">
        <v>255</v>
      </c>
      <c r="H25" s="27" t="s">
        <v>148</v>
      </c>
    </row>
    <row r="26">
      <c r="A26" s="24">
        <v>24.0</v>
      </c>
      <c r="B26" s="25" t="s">
        <v>141</v>
      </c>
      <c r="C26" s="26" t="s">
        <v>256</v>
      </c>
      <c r="D26" s="26" t="s">
        <v>257</v>
      </c>
      <c r="E26" s="26" t="s">
        <v>258</v>
      </c>
      <c r="F26" s="26" t="s">
        <v>259</v>
      </c>
      <c r="G26" s="26" t="s">
        <v>260</v>
      </c>
      <c r="H26" s="27" t="s">
        <v>173</v>
      </c>
    </row>
    <row r="27">
      <c r="A27" s="24">
        <v>25.0</v>
      </c>
      <c r="B27" s="25" t="s">
        <v>141</v>
      </c>
      <c r="C27" s="26" t="s">
        <v>261</v>
      </c>
      <c r="D27" s="26" t="s">
        <v>262</v>
      </c>
      <c r="E27" s="26" t="s">
        <v>263</v>
      </c>
      <c r="F27" s="26" t="s">
        <v>264</v>
      </c>
      <c r="G27" s="26" t="s">
        <v>265</v>
      </c>
      <c r="H27" s="27" t="s">
        <v>161</v>
      </c>
    </row>
    <row r="28">
      <c r="A28" s="24">
        <v>26.0</v>
      </c>
      <c r="B28" s="25" t="s">
        <v>141</v>
      </c>
      <c r="C28" s="26" t="s">
        <v>267</v>
      </c>
      <c r="D28" s="26" t="s">
        <v>268</v>
      </c>
      <c r="E28" s="26" t="s">
        <v>269</v>
      </c>
      <c r="F28" s="26" t="s">
        <v>270</v>
      </c>
      <c r="G28" s="26" t="s">
        <v>271</v>
      </c>
      <c r="H28" s="27" t="s">
        <v>173</v>
      </c>
    </row>
    <row r="29">
      <c r="A29" s="24">
        <v>27.0</v>
      </c>
      <c r="B29" s="25" t="s">
        <v>141</v>
      </c>
      <c r="C29" s="26" t="s">
        <v>272</v>
      </c>
      <c r="D29" s="26" t="s">
        <v>273</v>
      </c>
      <c r="E29" s="26" t="s">
        <v>275</v>
      </c>
      <c r="F29" s="26" t="s">
        <v>276</v>
      </c>
      <c r="G29" s="26" t="s">
        <v>153</v>
      </c>
      <c r="H29" s="27" t="s">
        <v>154</v>
      </c>
    </row>
    <row r="30">
      <c r="A30" s="24">
        <v>28.0</v>
      </c>
      <c r="B30" s="25" t="s">
        <v>141</v>
      </c>
      <c r="C30" s="26" t="s">
        <v>278</v>
      </c>
      <c r="D30" s="26">
        <v>1.0</v>
      </c>
      <c r="E30" s="26">
        <v>2.0</v>
      </c>
      <c r="F30" s="26">
        <v>3.0</v>
      </c>
      <c r="G30" s="26">
        <v>4.0</v>
      </c>
      <c r="H30" s="27" t="s">
        <v>148</v>
      </c>
    </row>
    <row r="31">
      <c r="A31" s="24">
        <v>29.0</v>
      </c>
      <c r="B31" s="25" t="s">
        <v>141</v>
      </c>
      <c r="C31" s="26" t="s">
        <v>279</v>
      </c>
      <c r="D31" s="26" t="s">
        <v>280</v>
      </c>
      <c r="E31" s="26" t="s">
        <v>281</v>
      </c>
      <c r="F31" s="26" t="s">
        <v>283</v>
      </c>
      <c r="G31" s="26" t="s">
        <v>179</v>
      </c>
      <c r="H31" s="27" t="s">
        <v>173</v>
      </c>
    </row>
    <row r="32">
      <c r="A32" s="24">
        <v>30.0</v>
      </c>
      <c r="B32" s="25" t="s">
        <v>141</v>
      </c>
      <c r="C32" s="26" t="s">
        <v>284</v>
      </c>
      <c r="D32" s="26" t="s">
        <v>285</v>
      </c>
      <c r="E32" s="26" t="s">
        <v>287</v>
      </c>
      <c r="F32" s="26" t="s">
        <v>288</v>
      </c>
      <c r="G32" s="26" t="s">
        <v>153</v>
      </c>
      <c r="H32" s="27" t="s">
        <v>154</v>
      </c>
    </row>
    <row r="33">
      <c r="A33" s="21" t="s">
        <v>289</v>
      </c>
      <c r="B33" s="22"/>
      <c r="C33" s="22"/>
      <c r="D33" s="22"/>
      <c r="E33" s="22"/>
      <c r="F33" s="22"/>
      <c r="G33" s="22"/>
      <c r="H33" s="23"/>
    </row>
    <row r="34">
      <c r="A34" s="24">
        <v>31.0</v>
      </c>
      <c r="B34" s="25" t="s">
        <v>290</v>
      </c>
      <c r="C34" s="26" t="s">
        <v>291</v>
      </c>
      <c r="D34" s="26" t="s">
        <v>292</v>
      </c>
      <c r="E34" s="26" t="s">
        <v>255</v>
      </c>
      <c r="F34" s="26" t="s">
        <v>254</v>
      </c>
      <c r="G34" s="26" t="s">
        <v>294</v>
      </c>
      <c r="H34" s="27" t="s">
        <v>161</v>
      </c>
    </row>
    <row r="35">
      <c r="A35" s="24">
        <v>32.0</v>
      </c>
      <c r="B35" s="25" t="s">
        <v>290</v>
      </c>
      <c r="C35" s="26" t="s">
        <v>295</v>
      </c>
      <c r="D35" s="26" t="s">
        <v>296</v>
      </c>
      <c r="E35" s="26" t="s">
        <v>297</v>
      </c>
      <c r="F35" s="26" t="s">
        <v>298</v>
      </c>
      <c r="G35" s="26" t="s">
        <v>299</v>
      </c>
      <c r="H35" s="27" t="s">
        <v>148</v>
      </c>
    </row>
    <row r="36">
      <c r="A36" s="24">
        <v>33.0</v>
      </c>
      <c r="B36" s="25" t="s">
        <v>290</v>
      </c>
      <c r="C36" s="26" t="s">
        <v>301</v>
      </c>
      <c r="D36" s="26" t="s">
        <v>302</v>
      </c>
      <c r="E36" s="26" t="s">
        <v>303</v>
      </c>
      <c r="F36" s="26" t="s">
        <v>304</v>
      </c>
      <c r="G36" s="26" t="s">
        <v>299</v>
      </c>
      <c r="H36" s="27" t="s">
        <v>154</v>
      </c>
    </row>
    <row r="37">
      <c r="A37" s="24">
        <v>34.0</v>
      </c>
      <c r="B37" s="25" t="s">
        <v>290</v>
      </c>
      <c r="C37" s="26" t="s">
        <v>305</v>
      </c>
      <c r="D37" s="26" t="s">
        <v>306</v>
      </c>
      <c r="E37" s="26">
        <v>7.0</v>
      </c>
      <c r="F37" s="26">
        <v>12.0</v>
      </c>
      <c r="G37" s="26" t="s">
        <v>307</v>
      </c>
      <c r="H37" s="27" t="s">
        <v>173</v>
      </c>
    </row>
    <row r="38">
      <c r="A38" s="24">
        <v>35.0</v>
      </c>
      <c r="B38" s="25" t="s">
        <v>290</v>
      </c>
      <c r="C38" s="26" t="s">
        <v>309</v>
      </c>
      <c r="D38" s="26" t="s">
        <v>310</v>
      </c>
      <c r="E38" s="26" t="s">
        <v>311</v>
      </c>
      <c r="F38" s="26" t="s">
        <v>313</v>
      </c>
      <c r="G38" s="26" t="s">
        <v>314</v>
      </c>
      <c r="H38" s="27" t="s">
        <v>154</v>
      </c>
    </row>
    <row r="39">
      <c r="A39" s="24">
        <v>36.0</v>
      </c>
      <c r="B39" s="25" t="s">
        <v>290</v>
      </c>
      <c r="C39" s="26" t="s">
        <v>315</v>
      </c>
      <c r="D39" s="26" t="s">
        <v>310</v>
      </c>
      <c r="E39" s="26" t="s">
        <v>311</v>
      </c>
      <c r="F39" s="26" t="s">
        <v>313</v>
      </c>
      <c r="G39" s="26" t="s">
        <v>314</v>
      </c>
      <c r="H39" s="27" t="s">
        <v>173</v>
      </c>
    </row>
    <row r="40">
      <c r="A40" s="24">
        <v>37.0</v>
      </c>
      <c r="B40" s="25" t="s">
        <v>290</v>
      </c>
      <c r="C40" s="26" t="s">
        <v>316</v>
      </c>
      <c r="D40" s="26" t="s">
        <v>318</v>
      </c>
      <c r="E40" s="26" t="s">
        <v>319</v>
      </c>
      <c r="F40" s="26" t="s">
        <v>320</v>
      </c>
      <c r="G40" s="26" t="s">
        <v>321</v>
      </c>
      <c r="H40" s="27" t="s">
        <v>161</v>
      </c>
    </row>
    <row r="41">
      <c r="A41" s="24">
        <v>38.0</v>
      </c>
      <c r="B41" s="25" t="s">
        <v>290</v>
      </c>
      <c r="C41" s="26" t="s">
        <v>322</v>
      </c>
      <c r="D41" s="26" t="s">
        <v>323</v>
      </c>
      <c r="E41" s="26" t="s">
        <v>324</v>
      </c>
      <c r="F41" s="26" t="s">
        <v>171</v>
      </c>
      <c r="G41" s="26" t="s">
        <v>325</v>
      </c>
      <c r="H41" s="27" t="s">
        <v>161</v>
      </c>
    </row>
    <row r="42">
      <c r="A42" s="24">
        <v>39.0</v>
      </c>
      <c r="B42" s="25" t="s">
        <v>290</v>
      </c>
      <c r="C42" s="26" t="s">
        <v>326</v>
      </c>
      <c r="D42" s="26" t="s">
        <v>327</v>
      </c>
      <c r="E42" s="26" t="s">
        <v>328</v>
      </c>
      <c r="F42" s="26" t="s">
        <v>329</v>
      </c>
      <c r="G42" s="26" t="s">
        <v>299</v>
      </c>
      <c r="H42" s="27" t="s">
        <v>148</v>
      </c>
    </row>
    <row r="43">
      <c r="A43" s="24">
        <v>40.0</v>
      </c>
      <c r="B43" s="25" t="s">
        <v>290</v>
      </c>
      <c r="C43" s="26" t="s">
        <v>330</v>
      </c>
      <c r="D43" s="26" t="s">
        <v>331</v>
      </c>
      <c r="E43" s="26" t="s">
        <v>332</v>
      </c>
      <c r="F43" s="26" t="s">
        <v>333</v>
      </c>
      <c r="G43" s="26" t="s">
        <v>334</v>
      </c>
      <c r="H43" s="27" t="s">
        <v>173</v>
      </c>
    </row>
    <row r="44">
      <c r="A44" s="24">
        <v>41.0</v>
      </c>
      <c r="B44" s="25" t="s">
        <v>290</v>
      </c>
      <c r="C44" s="26" t="s">
        <v>336</v>
      </c>
      <c r="D44" s="26" t="s">
        <v>337</v>
      </c>
      <c r="E44" s="26" t="s">
        <v>297</v>
      </c>
      <c r="F44" s="26" t="s">
        <v>338</v>
      </c>
      <c r="G44" s="26" t="s">
        <v>339</v>
      </c>
      <c r="H44" s="27" t="s">
        <v>148</v>
      </c>
    </row>
    <row r="45">
      <c r="A45" s="24">
        <v>42.0</v>
      </c>
      <c r="B45" s="25" t="s">
        <v>290</v>
      </c>
      <c r="C45" s="26" t="s">
        <v>340</v>
      </c>
      <c r="D45" s="26" t="s">
        <v>341</v>
      </c>
      <c r="E45" s="26" t="s">
        <v>342</v>
      </c>
      <c r="F45" s="26" t="s">
        <v>343</v>
      </c>
      <c r="G45" s="26" t="s">
        <v>307</v>
      </c>
      <c r="H45" s="27" t="s">
        <v>173</v>
      </c>
    </row>
    <row r="46">
      <c r="A46" s="24">
        <v>43.0</v>
      </c>
      <c r="B46" s="25" t="s">
        <v>290</v>
      </c>
      <c r="C46" s="26" t="s">
        <v>344</v>
      </c>
      <c r="D46" s="26">
        <v>6.0</v>
      </c>
      <c r="E46" s="26">
        <v>7.0</v>
      </c>
      <c r="F46" s="26">
        <v>8.0</v>
      </c>
      <c r="G46" s="26">
        <v>9.0</v>
      </c>
      <c r="H46" s="27" t="s">
        <v>161</v>
      </c>
    </row>
    <row r="47">
      <c r="A47" s="24">
        <v>44.0</v>
      </c>
      <c r="B47" s="25" t="s">
        <v>290</v>
      </c>
      <c r="C47" s="26" t="s">
        <v>345</v>
      </c>
      <c r="D47" s="26" t="s">
        <v>343</v>
      </c>
      <c r="E47" s="26" t="s">
        <v>346</v>
      </c>
      <c r="F47" s="26" t="s">
        <v>347</v>
      </c>
      <c r="G47" s="26" t="s">
        <v>307</v>
      </c>
      <c r="H47" s="27" t="s">
        <v>161</v>
      </c>
    </row>
    <row r="48">
      <c r="A48" s="24">
        <v>45.0</v>
      </c>
      <c r="B48" s="25" t="s">
        <v>290</v>
      </c>
      <c r="C48" s="26" t="s">
        <v>348</v>
      </c>
      <c r="D48" s="26" t="s">
        <v>294</v>
      </c>
      <c r="E48" s="26" t="s">
        <v>253</v>
      </c>
      <c r="F48" s="26" t="s">
        <v>349</v>
      </c>
      <c r="G48" s="26" t="s">
        <v>350</v>
      </c>
      <c r="H48" s="27" t="s">
        <v>173</v>
      </c>
    </row>
    <row r="49">
      <c r="A49" s="24">
        <v>46.0</v>
      </c>
      <c r="B49" s="25" t="s">
        <v>290</v>
      </c>
      <c r="C49" s="26" t="s">
        <v>352</v>
      </c>
      <c r="D49" s="26" t="s">
        <v>353</v>
      </c>
      <c r="E49" s="26" t="s">
        <v>354</v>
      </c>
      <c r="F49" s="26" t="s">
        <v>356</v>
      </c>
      <c r="G49" s="26" t="s">
        <v>299</v>
      </c>
      <c r="H49" s="27" t="s">
        <v>148</v>
      </c>
    </row>
    <row r="50">
      <c r="A50" s="24">
        <v>47.0</v>
      </c>
      <c r="B50" s="25" t="s">
        <v>290</v>
      </c>
      <c r="C50" s="26" t="s">
        <v>358</v>
      </c>
      <c r="D50" s="26" t="s">
        <v>359</v>
      </c>
      <c r="E50" s="26" t="s">
        <v>360</v>
      </c>
      <c r="F50" s="26" t="s">
        <v>349</v>
      </c>
      <c r="G50" s="26" t="s">
        <v>361</v>
      </c>
      <c r="H50" s="27" t="s">
        <v>148</v>
      </c>
    </row>
    <row r="51">
      <c r="A51" s="24">
        <v>48.0</v>
      </c>
      <c r="B51" s="25" t="s">
        <v>290</v>
      </c>
      <c r="C51" s="26" t="s">
        <v>362</v>
      </c>
      <c r="D51" s="26" t="s">
        <v>363</v>
      </c>
      <c r="E51" s="26" t="s">
        <v>364</v>
      </c>
      <c r="F51" s="26" t="s">
        <v>224</v>
      </c>
      <c r="G51" s="26" t="s">
        <v>365</v>
      </c>
      <c r="H51" s="27" t="s">
        <v>154</v>
      </c>
    </row>
    <row r="52">
      <c r="A52" s="24">
        <v>49.0</v>
      </c>
      <c r="B52" s="25" t="s">
        <v>290</v>
      </c>
      <c r="C52" s="26" t="s">
        <v>367</v>
      </c>
      <c r="D52" s="26" t="s">
        <v>369</v>
      </c>
      <c r="E52" s="26" t="s">
        <v>370</v>
      </c>
      <c r="F52" s="26" t="s">
        <v>371</v>
      </c>
      <c r="G52" s="26" t="s">
        <v>372</v>
      </c>
      <c r="H52" s="27" t="s">
        <v>148</v>
      </c>
    </row>
    <row r="53">
      <c r="A53" s="24">
        <v>50.0</v>
      </c>
      <c r="B53" s="25" t="s">
        <v>290</v>
      </c>
      <c r="C53" s="26" t="s">
        <v>373</v>
      </c>
      <c r="D53" s="26" t="s">
        <v>374</v>
      </c>
      <c r="E53" s="26" t="s">
        <v>376</v>
      </c>
      <c r="F53" s="26" t="s">
        <v>377</v>
      </c>
      <c r="G53" s="26" t="s">
        <v>307</v>
      </c>
      <c r="H53" s="27" t="s">
        <v>161</v>
      </c>
    </row>
    <row r="54">
      <c r="A54" s="24">
        <v>51.0</v>
      </c>
      <c r="B54" s="25" t="s">
        <v>290</v>
      </c>
      <c r="C54" s="26" t="s">
        <v>378</v>
      </c>
      <c r="D54" s="26" t="s">
        <v>380</v>
      </c>
      <c r="E54" s="26" t="s">
        <v>381</v>
      </c>
      <c r="F54" s="26" t="s">
        <v>382</v>
      </c>
      <c r="G54" s="26" t="s">
        <v>255</v>
      </c>
      <c r="H54" s="27" t="s">
        <v>148</v>
      </c>
    </row>
    <row r="55">
      <c r="A55" s="24">
        <v>52.0</v>
      </c>
      <c r="B55" s="25" t="s">
        <v>290</v>
      </c>
      <c r="C55" s="26" t="s">
        <v>384</v>
      </c>
      <c r="D55" s="26" t="s">
        <v>385</v>
      </c>
      <c r="E55" s="26" t="s">
        <v>381</v>
      </c>
      <c r="F55" s="26" t="s">
        <v>380</v>
      </c>
      <c r="G55" s="26" t="s">
        <v>319</v>
      </c>
      <c r="H55" s="27" t="s">
        <v>173</v>
      </c>
    </row>
    <row r="56">
      <c r="A56" s="24">
        <v>53.0</v>
      </c>
      <c r="B56" s="25" t="s">
        <v>290</v>
      </c>
      <c r="C56" s="26" t="s">
        <v>387</v>
      </c>
      <c r="D56" s="26" t="s">
        <v>381</v>
      </c>
      <c r="E56" s="26" t="s">
        <v>385</v>
      </c>
      <c r="F56" s="26" t="s">
        <v>380</v>
      </c>
      <c r="G56" s="26" t="s">
        <v>359</v>
      </c>
      <c r="H56" s="27" t="s">
        <v>148</v>
      </c>
    </row>
    <row r="57">
      <c r="A57" s="24">
        <v>54.0</v>
      </c>
      <c r="B57" s="25" t="s">
        <v>290</v>
      </c>
      <c r="C57" s="26" t="s">
        <v>388</v>
      </c>
      <c r="D57" s="26" t="s">
        <v>297</v>
      </c>
      <c r="E57" s="26" t="s">
        <v>339</v>
      </c>
      <c r="F57" s="26" t="s">
        <v>389</v>
      </c>
      <c r="G57" s="26" t="s">
        <v>337</v>
      </c>
      <c r="H57" s="27" t="s">
        <v>173</v>
      </c>
    </row>
    <row r="58">
      <c r="A58" s="24">
        <v>55.0</v>
      </c>
      <c r="B58" s="25" t="s">
        <v>290</v>
      </c>
      <c r="C58" s="26" t="s">
        <v>391</v>
      </c>
      <c r="D58" s="26" t="s">
        <v>392</v>
      </c>
      <c r="E58" s="26" t="s">
        <v>393</v>
      </c>
      <c r="F58" s="26" t="s">
        <v>394</v>
      </c>
      <c r="G58" s="26" t="s">
        <v>395</v>
      </c>
      <c r="H58" s="27" t="s">
        <v>148</v>
      </c>
    </row>
    <row r="59">
      <c r="A59" s="24">
        <v>56.0</v>
      </c>
      <c r="B59" s="25" t="s">
        <v>290</v>
      </c>
      <c r="C59" s="26" t="s">
        <v>397</v>
      </c>
      <c r="D59" s="26" t="s">
        <v>398</v>
      </c>
      <c r="E59" s="26" t="s">
        <v>399</v>
      </c>
      <c r="F59" s="26" t="s">
        <v>400</v>
      </c>
      <c r="G59" s="26" t="s">
        <v>402</v>
      </c>
      <c r="H59" s="27" t="s">
        <v>154</v>
      </c>
    </row>
    <row r="60">
      <c r="A60" s="24">
        <v>57.0</v>
      </c>
      <c r="B60" s="25" t="s">
        <v>290</v>
      </c>
      <c r="C60" s="26" t="s">
        <v>403</v>
      </c>
      <c r="D60" s="26" t="s">
        <v>292</v>
      </c>
      <c r="E60" s="26" t="s">
        <v>294</v>
      </c>
      <c r="F60" s="26" t="s">
        <v>405</v>
      </c>
      <c r="G60" s="26" t="s">
        <v>350</v>
      </c>
      <c r="H60" s="27" t="s">
        <v>148</v>
      </c>
    </row>
    <row r="61">
      <c r="A61" s="24">
        <v>58.0</v>
      </c>
      <c r="B61" s="25" t="s">
        <v>290</v>
      </c>
      <c r="C61" s="26" t="s">
        <v>407</v>
      </c>
      <c r="D61" s="26" t="b">
        <v>1</v>
      </c>
      <c r="E61" s="26" t="b">
        <v>0</v>
      </c>
      <c r="F61" s="26"/>
      <c r="G61" s="26"/>
      <c r="H61" s="27" t="s">
        <v>173</v>
      </c>
    </row>
    <row r="62">
      <c r="A62" s="24">
        <v>59.0</v>
      </c>
      <c r="B62" s="25" t="s">
        <v>290</v>
      </c>
      <c r="C62" s="26" t="s">
        <v>409</v>
      </c>
      <c r="D62" s="26" t="s">
        <v>298</v>
      </c>
      <c r="E62" s="26" t="s">
        <v>410</v>
      </c>
      <c r="F62" s="26" t="s">
        <v>411</v>
      </c>
      <c r="G62" s="26" t="s">
        <v>276</v>
      </c>
      <c r="H62" s="27" t="s">
        <v>161</v>
      </c>
    </row>
    <row r="63">
      <c r="A63" s="24">
        <v>60.0</v>
      </c>
      <c r="B63" s="25" t="s">
        <v>290</v>
      </c>
      <c r="C63" s="26" t="s">
        <v>413</v>
      </c>
      <c r="D63" s="26" t="s">
        <v>414</v>
      </c>
      <c r="E63" s="26" t="s">
        <v>415</v>
      </c>
      <c r="F63" s="26" t="s">
        <v>416</v>
      </c>
      <c r="G63" s="26" t="s">
        <v>179</v>
      </c>
      <c r="H63" s="27" t="s">
        <v>148</v>
      </c>
    </row>
    <row r="64">
      <c r="A64" s="21" t="s">
        <v>417</v>
      </c>
      <c r="B64" s="22"/>
      <c r="C64" s="22"/>
      <c r="D64" s="22"/>
      <c r="E64" s="22"/>
      <c r="F64" s="22"/>
      <c r="G64" s="22"/>
      <c r="H64" s="23"/>
    </row>
    <row r="65">
      <c r="A65" s="24">
        <v>61.0</v>
      </c>
      <c r="B65" s="25" t="s">
        <v>421</v>
      </c>
      <c r="C65" s="26" t="s">
        <v>423</v>
      </c>
      <c r="D65" s="26">
        <v>12.75</v>
      </c>
      <c r="E65" s="26">
        <v>15.0</v>
      </c>
      <c r="F65" s="26">
        <v>20.0</v>
      </c>
      <c r="G65" s="26">
        <v>25.0</v>
      </c>
      <c r="H65" s="27" t="s">
        <v>173</v>
      </c>
    </row>
    <row r="66">
      <c r="A66" s="24">
        <v>62.0</v>
      </c>
      <c r="B66" s="25" t="s">
        <v>421</v>
      </c>
      <c r="C66" s="26" t="s">
        <v>424</v>
      </c>
      <c r="D66" s="26" t="s">
        <v>426</v>
      </c>
      <c r="E66" s="26" t="s">
        <v>427</v>
      </c>
      <c r="F66" s="26" t="s">
        <v>428</v>
      </c>
      <c r="G66" s="26" t="s">
        <v>429</v>
      </c>
      <c r="H66" s="27" t="s">
        <v>161</v>
      </c>
    </row>
    <row r="67">
      <c r="A67" s="24">
        <v>63.0</v>
      </c>
      <c r="B67" s="25" t="s">
        <v>421</v>
      </c>
      <c r="C67" s="26" t="s">
        <v>430</v>
      </c>
      <c r="D67" s="26" t="s">
        <v>431</v>
      </c>
      <c r="E67" s="26" t="s">
        <v>432</v>
      </c>
      <c r="F67" s="26" t="s">
        <v>434</v>
      </c>
      <c r="G67" s="26" t="s">
        <v>435</v>
      </c>
      <c r="H67" s="27" t="s">
        <v>173</v>
      </c>
    </row>
    <row r="68">
      <c r="A68" s="24">
        <v>64.0</v>
      </c>
      <c r="B68" s="25" t="s">
        <v>421</v>
      </c>
      <c r="C68" s="26" t="s">
        <v>436</v>
      </c>
      <c r="D68" s="26" t="s">
        <v>438</v>
      </c>
      <c r="E68" s="26" t="s">
        <v>439</v>
      </c>
      <c r="F68" s="26" t="s">
        <v>440</v>
      </c>
      <c r="G68" s="26" t="s">
        <v>4</v>
      </c>
      <c r="H68" s="27" t="s">
        <v>148</v>
      </c>
    </row>
    <row r="69">
      <c r="A69" s="24">
        <v>65.0</v>
      </c>
      <c r="B69" s="25" t="s">
        <v>421</v>
      </c>
      <c r="C69" s="26" t="s">
        <v>443</v>
      </c>
      <c r="D69" s="26" t="s">
        <v>444</v>
      </c>
      <c r="E69" s="26" t="s">
        <v>445</v>
      </c>
      <c r="F69" s="26" t="s">
        <v>447</v>
      </c>
      <c r="G69" s="26" t="s">
        <v>448</v>
      </c>
      <c r="H69" s="27" t="s">
        <v>148</v>
      </c>
    </row>
    <row r="70">
      <c r="A70" s="24">
        <v>66.0</v>
      </c>
      <c r="B70" s="25" t="s">
        <v>421</v>
      </c>
      <c r="C70" s="26" t="s">
        <v>449</v>
      </c>
      <c r="D70" s="26" t="s">
        <v>428</v>
      </c>
      <c r="E70" s="26" t="s">
        <v>426</v>
      </c>
      <c r="F70" s="26" t="s">
        <v>427</v>
      </c>
      <c r="G70" s="26" t="s">
        <v>451</v>
      </c>
      <c r="H70" s="27" t="s">
        <v>161</v>
      </c>
    </row>
    <row r="71">
      <c r="A71" s="24">
        <v>67.0</v>
      </c>
      <c r="B71" s="25" t="s">
        <v>421</v>
      </c>
      <c r="C71" s="26" t="s">
        <v>452</v>
      </c>
      <c r="D71" s="26" t="s">
        <v>453</v>
      </c>
      <c r="E71" s="26" t="s">
        <v>454</v>
      </c>
      <c r="F71" s="26" t="s">
        <v>455</v>
      </c>
      <c r="G71" s="26" t="s">
        <v>299</v>
      </c>
      <c r="H71" s="27" t="s">
        <v>154</v>
      </c>
    </row>
    <row r="72">
      <c r="A72" s="24">
        <v>68.0</v>
      </c>
      <c r="B72" s="25" t="s">
        <v>421</v>
      </c>
      <c r="C72" s="26" t="s">
        <v>456</v>
      </c>
      <c r="D72" s="26" t="s">
        <v>458</v>
      </c>
      <c r="E72" s="26" t="s">
        <v>459</v>
      </c>
      <c r="F72" s="26" t="s">
        <v>460</v>
      </c>
      <c r="G72" s="26" t="s">
        <v>461</v>
      </c>
      <c r="H72" s="27" t="s">
        <v>173</v>
      </c>
    </row>
    <row r="73">
      <c r="A73" s="24">
        <v>69.0</v>
      </c>
      <c r="B73" s="25" t="s">
        <v>421</v>
      </c>
      <c r="C73" s="26" t="s">
        <v>462</v>
      </c>
      <c r="D73" s="26" t="s">
        <v>463</v>
      </c>
      <c r="E73" s="26" t="s">
        <v>465</v>
      </c>
      <c r="F73" s="26" t="s">
        <v>466</v>
      </c>
      <c r="G73" s="26" t="s">
        <v>467</v>
      </c>
      <c r="H73" s="27" t="s">
        <v>154</v>
      </c>
    </row>
    <row r="74">
      <c r="A74" s="24">
        <v>70.0</v>
      </c>
      <c r="B74" s="25" t="s">
        <v>421</v>
      </c>
      <c r="C74" s="26" t="s">
        <v>468</v>
      </c>
      <c r="D74" s="26" t="s">
        <v>469</v>
      </c>
      <c r="E74" s="26" t="s">
        <v>470</v>
      </c>
      <c r="F74" s="26" t="s">
        <v>471</v>
      </c>
      <c r="G74" s="26" t="s">
        <v>473</v>
      </c>
      <c r="H74" s="27" t="s">
        <v>173</v>
      </c>
    </row>
    <row r="75">
      <c r="A75" s="24">
        <v>71.0</v>
      </c>
      <c r="B75" s="25" t="s">
        <v>421</v>
      </c>
      <c r="C75" s="26" t="s">
        <v>475</v>
      </c>
      <c r="D75" s="26" t="s">
        <v>476</v>
      </c>
      <c r="E75" s="26" t="s">
        <v>478</v>
      </c>
      <c r="F75" s="26" t="s">
        <v>479</v>
      </c>
      <c r="G75" s="26" t="s">
        <v>480</v>
      </c>
      <c r="H75" s="27" t="s">
        <v>173</v>
      </c>
    </row>
    <row r="76">
      <c r="A76" s="24">
        <v>72.0</v>
      </c>
      <c r="B76" s="25" t="s">
        <v>421</v>
      </c>
      <c r="C76" s="26" t="s">
        <v>482</v>
      </c>
      <c r="D76" s="26" t="s">
        <v>483</v>
      </c>
      <c r="E76" s="26" t="s">
        <v>484</v>
      </c>
      <c r="F76" s="26" t="s">
        <v>485</v>
      </c>
      <c r="G76" s="26" t="s">
        <v>486</v>
      </c>
      <c r="H76" s="27" t="s">
        <v>173</v>
      </c>
    </row>
    <row r="77">
      <c r="A77" s="24">
        <v>73.0</v>
      </c>
      <c r="B77" s="25" t="s">
        <v>421</v>
      </c>
      <c r="C77" s="26" t="s">
        <v>488</v>
      </c>
      <c r="D77" s="26" t="s">
        <v>489</v>
      </c>
      <c r="E77" s="26" t="s">
        <v>490</v>
      </c>
      <c r="F77" s="26" t="s">
        <v>491</v>
      </c>
      <c r="G77" s="26" t="s">
        <v>492</v>
      </c>
      <c r="H77" s="27" t="s">
        <v>154</v>
      </c>
    </row>
    <row r="78">
      <c r="A78" s="24">
        <v>74.0</v>
      </c>
      <c r="B78" s="25" t="s">
        <v>421</v>
      </c>
      <c r="C78" s="26" t="s">
        <v>493</v>
      </c>
      <c r="D78" s="26" t="s">
        <v>494</v>
      </c>
      <c r="E78" s="26" t="s">
        <v>495</v>
      </c>
      <c r="F78" s="26" t="s">
        <v>496</v>
      </c>
      <c r="G78" s="26" t="s">
        <v>497</v>
      </c>
      <c r="H78" s="27" t="s">
        <v>173</v>
      </c>
    </row>
    <row r="79">
      <c r="A79" s="24">
        <v>75.0</v>
      </c>
      <c r="B79" s="25" t="s">
        <v>421</v>
      </c>
      <c r="C79" s="26" t="s">
        <v>499</v>
      </c>
      <c r="D79" s="26" t="s">
        <v>500</v>
      </c>
      <c r="E79" s="26" t="s">
        <v>501</v>
      </c>
      <c r="F79" s="26" t="s">
        <v>503</v>
      </c>
      <c r="G79" s="26" t="s">
        <v>299</v>
      </c>
      <c r="H79" s="27" t="s">
        <v>154</v>
      </c>
    </row>
    <row r="80">
      <c r="A80" s="24">
        <v>76.0</v>
      </c>
      <c r="B80" s="25" t="s">
        <v>421</v>
      </c>
      <c r="C80" s="26" t="s">
        <v>505</v>
      </c>
      <c r="D80" s="26" t="s">
        <v>506</v>
      </c>
      <c r="E80" s="26" t="s">
        <v>507</v>
      </c>
      <c r="F80" s="26" t="s">
        <v>508</v>
      </c>
      <c r="G80" s="26" t="s">
        <v>509</v>
      </c>
      <c r="H80" s="27" t="s">
        <v>154</v>
      </c>
    </row>
    <row r="81">
      <c r="A81" s="24">
        <v>77.0</v>
      </c>
      <c r="B81" s="25" t="s">
        <v>421</v>
      </c>
      <c r="C81" s="26" t="s">
        <v>511</v>
      </c>
      <c r="D81" s="26" t="s">
        <v>512</v>
      </c>
      <c r="E81" s="26" t="s">
        <v>513</v>
      </c>
      <c r="F81" s="26" t="s">
        <v>514</v>
      </c>
      <c r="G81" s="26" t="s">
        <v>515</v>
      </c>
      <c r="H81" s="27" t="s">
        <v>173</v>
      </c>
    </row>
    <row r="82">
      <c r="A82" s="24">
        <v>78.0</v>
      </c>
      <c r="B82" s="25" t="s">
        <v>421</v>
      </c>
      <c r="C82" s="26" t="s">
        <v>517</v>
      </c>
      <c r="D82" s="26" t="s">
        <v>518</v>
      </c>
      <c r="E82" s="26" t="s">
        <v>519</v>
      </c>
      <c r="F82" s="26" t="s">
        <v>520</v>
      </c>
      <c r="G82" s="26" t="s">
        <v>521</v>
      </c>
      <c r="H82" s="27" t="s">
        <v>173</v>
      </c>
    </row>
    <row r="83">
      <c r="A83" s="24">
        <v>79.0</v>
      </c>
      <c r="B83" s="25" t="s">
        <v>421</v>
      </c>
      <c r="C83" s="26" t="s">
        <v>522</v>
      </c>
      <c r="D83" s="26" t="s">
        <v>523</v>
      </c>
      <c r="E83" s="26" t="s">
        <v>524</v>
      </c>
      <c r="F83" s="26" t="s">
        <v>525</v>
      </c>
      <c r="G83" s="26" t="s">
        <v>526</v>
      </c>
      <c r="H83" s="27" t="s">
        <v>173</v>
      </c>
    </row>
    <row r="84">
      <c r="A84" s="24">
        <v>80.0</v>
      </c>
      <c r="B84" s="25" t="s">
        <v>421</v>
      </c>
      <c r="C84" s="26" t="s">
        <v>528</v>
      </c>
      <c r="D84" s="26" t="s">
        <v>529</v>
      </c>
      <c r="E84" s="26" t="s">
        <v>530</v>
      </c>
      <c r="F84" s="26" t="s">
        <v>531</v>
      </c>
      <c r="G84" s="26" t="s">
        <v>533</v>
      </c>
      <c r="H84" s="27" t="s">
        <v>173</v>
      </c>
    </row>
    <row r="85">
      <c r="A85" s="24">
        <v>81.0</v>
      </c>
      <c r="B85" s="25" t="s">
        <v>421</v>
      </c>
      <c r="C85" s="26" t="s">
        <v>534</v>
      </c>
      <c r="D85" s="26" t="s">
        <v>535</v>
      </c>
      <c r="E85" s="26" t="s">
        <v>537</v>
      </c>
      <c r="F85" s="26" t="s">
        <v>538</v>
      </c>
      <c r="G85" s="26" t="s">
        <v>539</v>
      </c>
      <c r="H85" s="27" t="s">
        <v>154</v>
      </c>
    </row>
    <row r="86">
      <c r="A86" s="24">
        <v>82.0</v>
      </c>
      <c r="B86" s="25" t="s">
        <v>421</v>
      </c>
      <c r="C86" s="26" t="s">
        <v>540</v>
      </c>
      <c r="D86" s="26" t="s">
        <v>541</v>
      </c>
      <c r="E86" s="26" t="s">
        <v>542</v>
      </c>
      <c r="F86" s="26" t="s">
        <v>543</v>
      </c>
      <c r="G86" s="26" t="s">
        <v>544</v>
      </c>
      <c r="H86" s="27" t="s">
        <v>173</v>
      </c>
    </row>
    <row r="87">
      <c r="A87" s="24">
        <v>83.0</v>
      </c>
      <c r="B87" s="25" t="s">
        <v>421</v>
      </c>
      <c r="C87" s="26" t="s">
        <v>546</v>
      </c>
      <c r="D87" s="26" t="s">
        <v>547</v>
      </c>
      <c r="E87" s="26" t="s">
        <v>548</v>
      </c>
      <c r="F87" s="26" t="s">
        <v>549</v>
      </c>
      <c r="G87" s="26" t="s">
        <v>550</v>
      </c>
      <c r="H87" s="27" t="s">
        <v>173</v>
      </c>
    </row>
    <row r="88">
      <c r="A88" s="24">
        <v>84.0</v>
      </c>
      <c r="B88" s="25" t="s">
        <v>421</v>
      </c>
      <c r="C88" s="26" t="s">
        <v>551</v>
      </c>
      <c r="D88" s="26" t="s">
        <v>552</v>
      </c>
      <c r="E88" s="26" t="s">
        <v>553</v>
      </c>
      <c r="F88" s="26" t="s">
        <v>554</v>
      </c>
      <c r="G88" s="26" t="s">
        <v>555</v>
      </c>
      <c r="H88" s="27" t="s">
        <v>173</v>
      </c>
    </row>
    <row r="89">
      <c r="A89" s="24">
        <v>85.0</v>
      </c>
      <c r="B89" s="25" t="s">
        <v>421</v>
      </c>
      <c r="C89" s="26" t="s">
        <v>556</v>
      </c>
      <c r="D89" s="26" t="s">
        <v>544</v>
      </c>
      <c r="E89" s="26" t="s">
        <v>557</v>
      </c>
      <c r="F89" s="26" t="s">
        <v>558</v>
      </c>
      <c r="G89" s="26" t="s">
        <v>559</v>
      </c>
      <c r="H89" s="27" t="s">
        <v>173</v>
      </c>
    </row>
    <row r="90">
      <c r="A90" s="24">
        <v>86.0</v>
      </c>
      <c r="B90" s="25" t="s">
        <v>421</v>
      </c>
      <c r="C90" s="26" t="s">
        <v>561</v>
      </c>
      <c r="D90" s="26" t="s">
        <v>562</v>
      </c>
      <c r="E90" s="26" t="s">
        <v>563</v>
      </c>
      <c r="F90" s="26" t="s">
        <v>564</v>
      </c>
      <c r="G90" s="26" t="s">
        <v>565</v>
      </c>
      <c r="H90" s="27" t="s">
        <v>148</v>
      </c>
    </row>
    <row r="91">
      <c r="A91" s="24">
        <v>87.0</v>
      </c>
      <c r="B91" s="25" t="s">
        <v>421</v>
      </c>
      <c r="C91" s="26" t="s">
        <v>566</v>
      </c>
      <c r="D91" s="26" t="s">
        <v>567</v>
      </c>
      <c r="E91" s="26" t="s">
        <v>568</v>
      </c>
      <c r="F91" s="26" t="s">
        <v>569</v>
      </c>
      <c r="G91" s="26" t="s">
        <v>570</v>
      </c>
      <c r="H91" s="27" t="s">
        <v>173</v>
      </c>
    </row>
    <row r="92">
      <c r="A92" s="24">
        <v>88.0</v>
      </c>
      <c r="B92" s="25" t="s">
        <v>421</v>
      </c>
      <c r="C92" s="26" t="s">
        <v>571</v>
      </c>
      <c r="D92" s="26" t="s">
        <v>572</v>
      </c>
      <c r="E92" s="26" t="s">
        <v>573</v>
      </c>
      <c r="F92" s="26" t="s">
        <v>575</v>
      </c>
      <c r="G92" s="26" t="s">
        <v>576</v>
      </c>
      <c r="H92" s="27" t="s">
        <v>154</v>
      </c>
    </row>
    <row r="93">
      <c r="A93" s="24">
        <v>89.0</v>
      </c>
      <c r="B93" s="25" t="s">
        <v>421</v>
      </c>
      <c r="C93" s="26" t="s">
        <v>577</v>
      </c>
      <c r="D93" s="26" t="s">
        <v>578</v>
      </c>
      <c r="E93" s="26" t="s">
        <v>569</v>
      </c>
      <c r="F93" s="26" t="s">
        <v>579</v>
      </c>
      <c r="G93" s="26" t="s">
        <v>580</v>
      </c>
      <c r="H93" s="27" t="s">
        <v>173</v>
      </c>
    </row>
    <row r="94">
      <c r="A94" s="24">
        <v>90.0</v>
      </c>
      <c r="B94" s="25" t="s">
        <v>421</v>
      </c>
      <c r="C94" s="26" t="s">
        <v>581</v>
      </c>
      <c r="D94" s="26" t="s">
        <v>583</v>
      </c>
      <c r="E94" s="26" t="s">
        <v>584</v>
      </c>
      <c r="F94" s="26" t="s">
        <v>585</v>
      </c>
      <c r="G94" s="26" t="s">
        <v>586</v>
      </c>
      <c r="H94" s="27" t="s">
        <v>148</v>
      </c>
    </row>
    <row r="95">
      <c r="A95" s="24">
        <v>91.0</v>
      </c>
      <c r="B95" s="25" t="s">
        <v>421</v>
      </c>
      <c r="C95" s="26" t="s">
        <v>588</v>
      </c>
      <c r="D95" s="26" t="s">
        <v>589</v>
      </c>
      <c r="E95" s="26" t="s">
        <v>591</v>
      </c>
      <c r="F95" s="26" t="s">
        <v>592</v>
      </c>
      <c r="G95" s="26" t="s">
        <v>593</v>
      </c>
      <c r="H95" s="27" t="s">
        <v>161</v>
      </c>
    </row>
    <row r="96">
      <c r="A96" s="24">
        <v>92.0</v>
      </c>
      <c r="B96" s="25" t="s">
        <v>421</v>
      </c>
      <c r="C96" s="26" t="s">
        <v>595</v>
      </c>
      <c r="D96" s="26" t="s">
        <v>596</v>
      </c>
      <c r="E96" s="26" t="s">
        <v>597</v>
      </c>
      <c r="F96" s="26" t="s">
        <v>598</v>
      </c>
      <c r="G96" s="26" t="s">
        <v>599</v>
      </c>
      <c r="H96" s="27" t="s">
        <v>148</v>
      </c>
    </row>
    <row r="97">
      <c r="A97" s="24">
        <v>93.0</v>
      </c>
      <c r="B97" s="25" t="s">
        <v>421</v>
      </c>
      <c r="C97" s="26" t="s">
        <v>600</v>
      </c>
      <c r="D97" s="26" t="s">
        <v>601</v>
      </c>
      <c r="E97" s="26" t="s">
        <v>602</v>
      </c>
      <c r="F97" s="26" t="s">
        <v>603</v>
      </c>
      <c r="G97" s="26" t="s">
        <v>604</v>
      </c>
      <c r="H97" s="27" t="s">
        <v>148</v>
      </c>
    </row>
    <row r="98">
      <c r="A98" s="24">
        <v>94.0</v>
      </c>
      <c r="B98" s="25" t="s">
        <v>421</v>
      </c>
      <c r="C98" s="26" t="s">
        <v>606</v>
      </c>
      <c r="D98" s="26" t="s">
        <v>607</v>
      </c>
      <c r="E98" s="26" t="s">
        <v>608</v>
      </c>
      <c r="F98" s="26" t="s">
        <v>609</v>
      </c>
      <c r="G98" s="26" t="s">
        <v>610</v>
      </c>
      <c r="H98" s="27" t="s">
        <v>173</v>
      </c>
    </row>
    <row r="99">
      <c r="A99" s="24">
        <v>95.0</v>
      </c>
      <c r="B99" s="25" t="s">
        <v>421</v>
      </c>
      <c r="C99" s="26" t="s">
        <v>611</v>
      </c>
      <c r="D99" s="26" t="s">
        <v>612</v>
      </c>
      <c r="E99" s="26" t="s">
        <v>613</v>
      </c>
      <c r="F99" s="26" t="s">
        <v>614</v>
      </c>
      <c r="G99" s="26" t="s">
        <v>593</v>
      </c>
      <c r="H99" s="27" t="s">
        <v>161</v>
      </c>
    </row>
    <row r="100">
      <c r="A100" s="24">
        <v>96.0</v>
      </c>
      <c r="B100" s="25" t="s">
        <v>421</v>
      </c>
      <c r="C100" s="26" t="s">
        <v>615</v>
      </c>
      <c r="D100" s="26" t="s">
        <v>616</v>
      </c>
      <c r="E100" s="26" t="s">
        <v>617</v>
      </c>
      <c r="F100" s="26" t="s">
        <v>618</v>
      </c>
      <c r="G100" s="26" t="s">
        <v>619</v>
      </c>
      <c r="H100" s="27" t="s">
        <v>161</v>
      </c>
    </row>
    <row r="101">
      <c r="A101" s="24">
        <v>97.0</v>
      </c>
      <c r="B101" s="25" t="s">
        <v>421</v>
      </c>
      <c r="C101" s="26" t="s">
        <v>620</v>
      </c>
      <c r="D101" s="26" t="s">
        <v>601</v>
      </c>
      <c r="E101" s="26" t="s">
        <v>621</v>
      </c>
      <c r="F101" s="26" t="s">
        <v>622</v>
      </c>
      <c r="G101" s="26" t="s">
        <v>179</v>
      </c>
      <c r="H101" s="27" t="s">
        <v>161</v>
      </c>
    </row>
    <row r="102">
      <c r="A102" s="24">
        <v>98.0</v>
      </c>
      <c r="B102" s="25" t="s">
        <v>421</v>
      </c>
      <c r="C102" s="26" t="s">
        <v>624</v>
      </c>
      <c r="D102" s="26" t="b">
        <v>1</v>
      </c>
      <c r="E102" s="26" t="b">
        <v>0</v>
      </c>
      <c r="F102" s="26"/>
      <c r="G102" s="26"/>
      <c r="H102" s="27" t="s">
        <v>173</v>
      </c>
    </row>
    <row r="103" ht="24.0" customHeight="1">
      <c r="A103" s="24">
        <v>99.0</v>
      </c>
      <c r="B103" s="28" t="s">
        <v>421</v>
      </c>
      <c r="C103" s="29" t="s">
        <v>626</v>
      </c>
      <c r="D103" s="29" t="s">
        <v>627</v>
      </c>
      <c r="E103" s="29" t="s">
        <v>628</v>
      </c>
      <c r="F103" s="29" t="s">
        <v>629</v>
      </c>
      <c r="G103" s="29" t="s">
        <v>630</v>
      </c>
      <c r="H103" s="30" t="s">
        <v>154</v>
      </c>
    </row>
    <row r="104">
      <c r="A104" s="24">
        <v>100.0</v>
      </c>
      <c r="B104" s="25" t="s">
        <v>421</v>
      </c>
      <c r="C104" s="26" t="s">
        <v>634</v>
      </c>
      <c r="D104" s="26" t="s">
        <v>635</v>
      </c>
      <c r="E104" s="26" t="s">
        <v>636</v>
      </c>
      <c r="F104" s="26" t="s">
        <v>637</v>
      </c>
      <c r="G104" s="26" t="s">
        <v>638</v>
      </c>
      <c r="H104" s="27" t="s">
        <v>161</v>
      </c>
    </row>
    <row r="105">
      <c r="A105" s="24">
        <v>101.0</v>
      </c>
      <c r="B105" s="25" t="s">
        <v>421</v>
      </c>
      <c r="C105" s="26" t="s">
        <v>640</v>
      </c>
      <c r="D105" s="26" t="s">
        <v>641</v>
      </c>
      <c r="E105" s="26" t="s">
        <v>642</v>
      </c>
      <c r="F105" s="26" t="s">
        <v>643</v>
      </c>
      <c r="G105" s="26" t="s">
        <v>644</v>
      </c>
      <c r="H105" s="27" t="s">
        <v>173</v>
      </c>
    </row>
    <row r="106">
      <c r="A106" s="24">
        <v>102.0</v>
      </c>
      <c r="B106" s="25" t="s">
        <v>421</v>
      </c>
      <c r="C106" s="26" t="s">
        <v>645</v>
      </c>
      <c r="D106" s="26" t="s">
        <v>646</v>
      </c>
      <c r="E106" s="26" t="s">
        <v>647</v>
      </c>
      <c r="F106" s="26" t="s">
        <v>648</v>
      </c>
      <c r="G106" s="26" t="s">
        <v>649</v>
      </c>
      <c r="H106" s="27" t="s">
        <v>173</v>
      </c>
    </row>
    <row r="107">
      <c r="A107" s="24">
        <v>103.0</v>
      </c>
      <c r="B107" s="25" t="s">
        <v>421</v>
      </c>
      <c r="C107" s="26" t="s">
        <v>650</v>
      </c>
      <c r="D107" s="26" t="s">
        <v>651</v>
      </c>
      <c r="E107" s="26" t="s">
        <v>652</v>
      </c>
      <c r="F107" s="26" t="s">
        <v>653</v>
      </c>
      <c r="G107" s="26" t="s">
        <v>644</v>
      </c>
      <c r="H107" s="27" t="s">
        <v>173</v>
      </c>
    </row>
    <row r="108">
      <c r="A108" s="24">
        <v>104.0</v>
      </c>
      <c r="B108" s="25" t="s">
        <v>421</v>
      </c>
      <c r="C108" s="26" t="s">
        <v>654</v>
      </c>
      <c r="D108" s="26" t="s">
        <v>570</v>
      </c>
      <c r="E108" s="26" t="s">
        <v>569</v>
      </c>
      <c r="F108" s="26" t="s">
        <v>568</v>
      </c>
      <c r="G108" s="26" t="s">
        <v>567</v>
      </c>
      <c r="H108" s="27" t="s">
        <v>148</v>
      </c>
    </row>
    <row r="109">
      <c r="A109" s="24">
        <v>105.0</v>
      </c>
      <c r="B109" s="25" t="s">
        <v>421</v>
      </c>
      <c r="C109" s="26" t="s">
        <v>655</v>
      </c>
      <c r="D109" s="26" t="s">
        <v>656</v>
      </c>
      <c r="E109" s="26" t="s">
        <v>657</v>
      </c>
      <c r="F109" s="26" t="s">
        <v>658</v>
      </c>
      <c r="G109" s="26" t="s">
        <v>179</v>
      </c>
      <c r="H109" s="27" t="s">
        <v>161</v>
      </c>
    </row>
    <row r="110">
      <c r="A110" s="24">
        <v>106.0</v>
      </c>
      <c r="B110" s="25" t="s">
        <v>421</v>
      </c>
      <c r="C110" s="26" t="s">
        <v>659</v>
      </c>
      <c r="D110" s="26" t="s">
        <v>660</v>
      </c>
      <c r="E110" s="26" t="s">
        <v>661</v>
      </c>
      <c r="F110" s="26" t="s">
        <v>662</v>
      </c>
      <c r="G110" s="26" t="s">
        <v>663</v>
      </c>
      <c r="H110" s="27" t="s">
        <v>161</v>
      </c>
    </row>
    <row r="111">
      <c r="A111" s="24">
        <v>107.0</v>
      </c>
      <c r="B111" s="25" t="s">
        <v>421</v>
      </c>
      <c r="C111" s="26" t="s">
        <v>664</v>
      </c>
      <c r="D111" s="26" t="s">
        <v>665</v>
      </c>
      <c r="E111" s="26" t="s">
        <v>666</v>
      </c>
      <c r="F111" s="26" t="s">
        <v>667</v>
      </c>
      <c r="G111" s="26" t="s">
        <v>668</v>
      </c>
      <c r="H111" s="27" t="s">
        <v>161</v>
      </c>
    </row>
    <row r="112">
      <c r="A112" s="24">
        <v>108.0</v>
      </c>
      <c r="B112" s="25" t="s">
        <v>421</v>
      </c>
      <c r="C112" s="26" t="s">
        <v>669</v>
      </c>
      <c r="D112" s="26" t="s">
        <v>671</v>
      </c>
      <c r="E112" s="26" t="s">
        <v>672</v>
      </c>
      <c r="F112" s="26" t="s">
        <v>673</v>
      </c>
      <c r="G112" s="26" t="s">
        <v>674</v>
      </c>
      <c r="H112" s="27" t="s">
        <v>148</v>
      </c>
    </row>
    <row r="113">
      <c r="A113" s="24">
        <v>109.0</v>
      </c>
      <c r="B113" s="25" t="s">
        <v>421</v>
      </c>
      <c r="C113" s="26" t="s">
        <v>676</v>
      </c>
      <c r="D113" s="26" t="s">
        <v>570</v>
      </c>
      <c r="E113" s="26" t="s">
        <v>677</v>
      </c>
      <c r="F113" s="26" t="s">
        <v>568</v>
      </c>
      <c r="G113" s="26" t="s">
        <v>567</v>
      </c>
      <c r="H113" s="27" t="s">
        <v>161</v>
      </c>
    </row>
    <row r="114">
      <c r="A114" s="24">
        <v>110.0</v>
      </c>
      <c r="B114" s="25" t="s">
        <v>421</v>
      </c>
      <c r="C114" s="26" t="s">
        <v>678</v>
      </c>
      <c r="D114" s="26" t="s">
        <v>679</v>
      </c>
      <c r="E114" s="26" t="s">
        <v>680</v>
      </c>
      <c r="F114" s="26" t="s">
        <v>681</v>
      </c>
      <c r="G114" s="26" t="s">
        <v>682</v>
      </c>
      <c r="H114" s="27" t="s">
        <v>148</v>
      </c>
    </row>
    <row r="115">
      <c r="A115" s="24">
        <v>111.0</v>
      </c>
      <c r="B115" s="25" t="s">
        <v>421</v>
      </c>
      <c r="C115" s="26" t="s">
        <v>684</v>
      </c>
      <c r="D115" s="26" t="s">
        <v>685</v>
      </c>
      <c r="E115" s="26" t="s">
        <v>686</v>
      </c>
      <c r="F115" s="26" t="s">
        <v>687</v>
      </c>
      <c r="G115" s="26" t="s">
        <v>688</v>
      </c>
      <c r="H115" s="27" t="s">
        <v>161</v>
      </c>
    </row>
    <row r="116">
      <c r="A116" s="24">
        <v>112.0</v>
      </c>
      <c r="B116" s="25" t="s">
        <v>421</v>
      </c>
      <c r="C116" s="26" t="s">
        <v>689</v>
      </c>
      <c r="D116" s="26" t="s">
        <v>690</v>
      </c>
      <c r="E116" s="26" t="s">
        <v>691</v>
      </c>
      <c r="F116" s="26" t="s">
        <v>692</v>
      </c>
      <c r="G116" s="26" t="s">
        <v>693</v>
      </c>
      <c r="H116" s="27" t="s">
        <v>173</v>
      </c>
    </row>
    <row r="117">
      <c r="A117" s="24">
        <v>113.0</v>
      </c>
      <c r="B117" s="25" t="s">
        <v>421</v>
      </c>
      <c r="C117" s="26" t="s">
        <v>695</v>
      </c>
      <c r="D117" s="26" t="s">
        <v>693</v>
      </c>
      <c r="E117" s="26" t="s">
        <v>696</v>
      </c>
      <c r="F117" s="26" t="s">
        <v>342</v>
      </c>
      <c r="G117" s="26" t="s">
        <v>692</v>
      </c>
      <c r="H117" s="27" t="s">
        <v>154</v>
      </c>
    </row>
    <row r="118">
      <c r="A118" s="24">
        <v>114.0</v>
      </c>
      <c r="B118" s="25" t="s">
        <v>421</v>
      </c>
      <c r="C118" s="26" t="s">
        <v>697</v>
      </c>
      <c r="D118" s="26" t="s">
        <v>691</v>
      </c>
      <c r="E118" s="26" t="s">
        <v>693</v>
      </c>
      <c r="F118" s="26" t="s">
        <v>692</v>
      </c>
      <c r="G118" s="26" t="s">
        <v>698</v>
      </c>
      <c r="H118" s="27" t="s">
        <v>161</v>
      </c>
    </row>
    <row r="119">
      <c r="A119" s="24">
        <v>115.0</v>
      </c>
      <c r="B119" s="25" t="s">
        <v>421</v>
      </c>
      <c r="C119" s="26" t="s">
        <v>699</v>
      </c>
      <c r="D119" s="26" t="b">
        <v>1</v>
      </c>
      <c r="E119" s="26" t="b">
        <v>0</v>
      </c>
      <c r="F119" s="26"/>
      <c r="G119" s="26"/>
      <c r="H119" s="27" t="s">
        <v>173</v>
      </c>
    </row>
    <row r="120">
      <c r="A120" s="24">
        <v>116.0</v>
      </c>
      <c r="B120" s="25" t="s">
        <v>421</v>
      </c>
      <c r="C120" s="26" t="s">
        <v>700</v>
      </c>
      <c r="D120" s="26" t="s">
        <v>691</v>
      </c>
      <c r="E120" s="26" t="s">
        <v>696</v>
      </c>
      <c r="F120" s="26" t="s">
        <v>693</v>
      </c>
      <c r="G120" s="26" t="s">
        <v>692</v>
      </c>
      <c r="H120" s="27" t="s">
        <v>173</v>
      </c>
    </row>
    <row r="121">
      <c r="A121" s="24">
        <v>117.0</v>
      </c>
      <c r="B121" s="25" t="s">
        <v>421</v>
      </c>
      <c r="C121" s="26" t="s">
        <v>701</v>
      </c>
      <c r="D121" s="26" t="s">
        <v>702</v>
      </c>
      <c r="E121" s="26" t="s">
        <v>704</v>
      </c>
      <c r="F121" s="26" t="s">
        <v>394</v>
      </c>
      <c r="G121" s="26" t="s">
        <v>179</v>
      </c>
      <c r="H121" s="27" t="s">
        <v>161</v>
      </c>
    </row>
    <row r="122">
      <c r="A122" s="24">
        <v>118.0</v>
      </c>
      <c r="B122" s="25" t="s">
        <v>421</v>
      </c>
      <c r="C122" s="26" t="s">
        <v>705</v>
      </c>
      <c r="D122" s="26" t="s">
        <v>706</v>
      </c>
      <c r="E122" s="26" t="s">
        <v>707</v>
      </c>
      <c r="F122" s="26" t="s">
        <v>150</v>
      </c>
      <c r="G122" s="26" t="s">
        <v>708</v>
      </c>
      <c r="H122" s="27" t="s">
        <v>148</v>
      </c>
    </row>
    <row r="123">
      <c r="A123" s="24">
        <v>119.0</v>
      </c>
      <c r="B123" s="25" t="s">
        <v>421</v>
      </c>
      <c r="C123" s="26" t="s">
        <v>710</v>
      </c>
      <c r="D123" s="26" t="s">
        <v>711</v>
      </c>
      <c r="E123" s="26" t="s">
        <v>712</v>
      </c>
      <c r="F123" s="26" t="s">
        <v>713</v>
      </c>
      <c r="G123" s="26" t="s">
        <v>714</v>
      </c>
      <c r="H123" s="27" t="s">
        <v>154</v>
      </c>
    </row>
    <row r="124">
      <c r="A124" s="24">
        <v>120.0</v>
      </c>
      <c r="B124" s="25" t="s">
        <v>421</v>
      </c>
      <c r="C124" s="26" t="s">
        <v>716</v>
      </c>
      <c r="D124" s="26" t="s">
        <v>711</v>
      </c>
      <c r="E124" s="26" t="s">
        <v>714</v>
      </c>
      <c r="F124" s="26" t="s">
        <v>712</v>
      </c>
      <c r="G124" s="26" t="s">
        <v>713</v>
      </c>
      <c r="H124" s="27" t="s">
        <v>173</v>
      </c>
    </row>
    <row r="125">
      <c r="A125" s="24">
        <v>121.0</v>
      </c>
      <c r="B125" s="25" t="s">
        <v>421</v>
      </c>
      <c r="C125" s="26" t="s">
        <v>718</v>
      </c>
      <c r="D125" s="26" t="s">
        <v>706</v>
      </c>
      <c r="E125" s="26" t="s">
        <v>523</v>
      </c>
      <c r="F125" s="26" t="s">
        <v>719</v>
      </c>
      <c r="G125" s="26" t="s">
        <v>720</v>
      </c>
      <c r="H125" s="27" t="s">
        <v>161</v>
      </c>
    </row>
    <row r="126">
      <c r="A126" s="24">
        <v>122.0</v>
      </c>
      <c r="B126" s="25" t="s">
        <v>421</v>
      </c>
      <c r="C126" s="26" t="s">
        <v>721</v>
      </c>
      <c r="D126" s="26" t="s">
        <v>292</v>
      </c>
      <c r="E126" s="26" t="s">
        <v>253</v>
      </c>
      <c r="F126" s="26" t="s">
        <v>722</v>
      </c>
      <c r="G126" s="26" t="s">
        <v>254</v>
      </c>
      <c r="H126" s="27" t="s">
        <v>173</v>
      </c>
    </row>
    <row r="127">
      <c r="A127" s="24">
        <v>123.0</v>
      </c>
      <c r="B127" s="25" t="s">
        <v>421</v>
      </c>
      <c r="C127" s="31" t="s">
        <v>724</v>
      </c>
      <c r="D127" s="26" t="s">
        <v>726</v>
      </c>
      <c r="E127" s="26" t="s">
        <v>727</v>
      </c>
      <c r="F127" s="26" t="s">
        <v>728</v>
      </c>
      <c r="G127" s="26" t="s">
        <v>729</v>
      </c>
      <c r="H127" s="27" t="s">
        <v>173</v>
      </c>
    </row>
    <row r="128">
      <c r="A128" s="24">
        <v>124.0</v>
      </c>
      <c r="B128" s="25" t="s">
        <v>421</v>
      </c>
      <c r="C128" s="26" t="s">
        <v>731</v>
      </c>
      <c r="D128" s="26" t="s">
        <v>732</v>
      </c>
      <c r="E128" s="26" t="s">
        <v>733</v>
      </c>
      <c r="F128" s="26" t="s">
        <v>735</v>
      </c>
      <c r="G128" s="26" t="s">
        <v>736</v>
      </c>
      <c r="H128" s="27" t="s">
        <v>161</v>
      </c>
    </row>
    <row r="129">
      <c r="A129" s="24">
        <v>125.0</v>
      </c>
      <c r="B129" s="25" t="s">
        <v>421</v>
      </c>
      <c r="C129" s="26" t="s">
        <v>737</v>
      </c>
      <c r="D129" s="26" t="s">
        <v>738</v>
      </c>
      <c r="E129" s="26" t="s">
        <v>739</v>
      </c>
      <c r="F129" s="26" t="s">
        <v>740</v>
      </c>
      <c r="G129" s="26" t="s">
        <v>741</v>
      </c>
      <c r="H129" s="27" t="s">
        <v>148</v>
      </c>
    </row>
    <row r="130">
      <c r="A130" s="24">
        <v>126.0</v>
      </c>
      <c r="B130" s="25" t="s">
        <v>421</v>
      </c>
      <c r="C130" s="26" t="s">
        <v>742</v>
      </c>
      <c r="D130" s="26" t="s">
        <v>743</v>
      </c>
      <c r="E130" s="26" t="s">
        <v>744</v>
      </c>
      <c r="F130" s="26" t="s">
        <v>745</v>
      </c>
      <c r="G130" s="26" t="s">
        <v>746</v>
      </c>
      <c r="H130" s="27" t="s">
        <v>154</v>
      </c>
    </row>
    <row r="131">
      <c r="A131" s="24">
        <v>127.0</v>
      </c>
      <c r="B131" s="25" t="s">
        <v>421</v>
      </c>
      <c r="C131" s="32" t="s">
        <v>749</v>
      </c>
      <c r="D131" s="26" t="s">
        <v>751</v>
      </c>
      <c r="E131" s="26" t="s">
        <v>752</v>
      </c>
      <c r="F131" s="26" t="s">
        <v>753</v>
      </c>
      <c r="G131" s="26" t="s">
        <v>754</v>
      </c>
      <c r="H131" s="27" t="s">
        <v>161</v>
      </c>
    </row>
    <row r="132">
      <c r="A132" s="24">
        <v>128.0</v>
      </c>
      <c r="B132" s="25" t="s">
        <v>421</v>
      </c>
      <c r="C132" s="26" t="s">
        <v>755</v>
      </c>
      <c r="D132" s="26" t="s">
        <v>756</v>
      </c>
      <c r="E132" s="26" t="s">
        <v>757</v>
      </c>
      <c r="F132" s="26" t="s">
        <v>758</v>
      </c>
      <c r="G132" s="26" t="s">
        <v>759</v>
      </c>
      <c r="H132" s="27" t="s">
        <v>173</v>
      </c>
    </row>
    <row r="133">
      <c r="A133" s="24">
        <v>129.0</v>
      </c>
      <c r="B133" s="25" t="s">
        <v>421</v>
      </c>
      <c r="C133" s="26" t="s">
        <v>760</v>
      </c>
      <c r="D133" s="26" t="s">
        <v>761</v>
      </c>
      <c r="E133" s="26" t="s">
        <v>762</v>
      </c>
      <c r="F133" s="26" t="s">
        <v>691</v>
      </c>
      <c r="G133" s="26" t="s">
        <v>763</v>
      </c>
      <c r="H133" s="27" t="s">
        <v>148</v>
      </c>
    </row>
    <row r="134">
      <c r="A134" s="24">
        <v>130.0</v>
      </c>
      <c r="B134" s="25" t="s">
        <v>421</v>
      </c>
      <c r="C134" s="26" t="s">
        <v>764</v>
      </c>
      <c r="D134" s="26" t="s">
        <v>765</v>
      </c>
      <c r="E134" s="26" t="s">
        <v>766</v>
      </c>
      <c r="F134" s="26" t="s">
        <v>767</v>
      </c>
      <c r="G134" s="26" t="s">
        <v>768</v>
      </c>
      <c r="H134" s="27" t="s">
        <v>148</v>
      </c>
    </row>
    <row r="135">
      <c r="A135" s="24">
        <v>131.0</v>
      </c>
      <c r="B135" s="25" t="s">
        <v>421</v>
      </c>
      <c r="C135" s="26" t="s">
        <v>769</v>
      </c>
      <c r="D135" s="26" t="s">
        <v>770</v>
      </c>
      <c r="E135" s="26" t="s">
        <v>771</v>
      </c>
      <c r="F135" s="26" t="s">
        <v>772</v>
      </c>
      <c r="G135" s="26" t="s">
        <v>773</v>
      </c>
      <c r="H135" s="27" t="s">
        <v>173</v>
      </c>
    </row>
    <row r="136">
      <c r="A136" s="24">
        <v>132.0</v>
      </c>
      <c r="B136" s="25" t="s">
        <v>421</v>
      </c>
      <c r="C136" s="26" t="s">
        <v>774</v>
      </c>
      <c r="D136" s="26" t="s">
        <v>775</v>
      </c>
      <c r="E136" s="26" t="s">
        <v>776</v>
      </c>
      <c r="F136" s="26" t="s">
        <v>777</v>
      </c>
      <c r="G136" s="26" t="s">
        <v>778</v>
      </c>
      <c r="H136" s="27" t="s">
        <v>161</v>
      </c>
    </row>
    <row r="137">
      <c r="A137" s="24">
        <v>133.0</v>
      </c>
      <c r="B137" s="25" t="s">
        <v>421</v>
      </c>
      <c r="C137" s="26" t="s">
        <v>779</v>
      </c>
      <c r="D137" s="26" t="s">
        <v>780</v>
      </c>
      <c r="E137" s="26" t="s">
        <v>781</v>
      </c>
      <c r="F137" s="26" t="s">
        <v>782</v>
      </c>
      <c r="G137" s="26" t="s">
        <v>783</v>
      </c>
      <c r="H137" s="27" t="s">
        <v>161</v>
      </c>
    </row>
    <row r="138">
      <c r="A138" s="24">
        <v>134.0</v>
      </c>
      <c r="B138" s="25" t="s">
        <v>421</v>
      </c>
      <c r="C138" s="26" t="s">
        <v>784</v>
      </c>
      <c r="D138" s="26" t="s">
        <v>785</v>
      </c>
      <c r="E138" s="26" t="s">
        <v>665</v>
      </c>
      <c r="F138" s="26" t="s">
        <v>666</v>
      </c>
      <c r="G138" s="26" t="s">
        <v>786</v>
      </c>
      <c r="H138" s="27" t="s">
        <v>154</v>
      </c>
    </row>
    <row r="139">
      <c r="A139" s="24">
        <v>135.0</v>
      </c>
      <c r="B139" s="25" t="s">
        <v>421</v>
      </c>
      <c r="C139" s="26" t="s">
        <v>787</v>
      </c>
      <c r="D139" s="26" t="s">
        <v>788</v>
      </c>
      <c r="E139" s="26" t="s">
        <v>789</v>
      </c>
      <c r="F139" s="26" t="s">
        <v>790</v>
      </c>
      <c r="G139" s="26" t="s">
        <v>791</v>
      </c>
      <c r="H139" s="27" t="s">
        <v>173</v>
      </c>
    </row>
    <row r="140">
      <c r="A140" s="24">
        <v>136.0</v>
      </c>
      <c r="B140" s="25" t="s">
        <v>421</v>
      </c>
      <c r="C140" s="26" t="s">
        <v>792</v>
      </c>
      <c r="D140" s="26" t="s">
        <v>793</v>
      </c>
      <c r="E140" s="26" t="s">
        <v>794</v>
      </c>
      <c r="F140" s="26" t="s">
        <v>795</v>
      </c>
      <c r="G140" s="26" t="s">
        <v>796</v>
      </c>
      <c r="H140" s="27" t="s">
        <v>173</v>
      </c>
    </row>
    <row r="141">
      <c r="A141" s="24">
        <v>137.0</v>
      </c>
      <c r="B141" s="25" t="s">
        <v>421</v>
      </c>
      <c r="C141" s="26" t="s">
        <v>798</v>
      </c>
      <c r="D141" s="26" t="s">
        <v>799</v>
      </c>
      <c r="E141" s="26" t="s">
        <v>800</v>
      </c>
      <c r="F141" s="26" t="s">
        <v>801</v>
      </c>
      <c r="G141" s="26" t="s">
        <v>802</v>
      </c>
      <c r="H141" s="27" t="s">
        <v>161</v>
      </c>
    </row>
    <row r="142">
      <c r="A142" s="24">
        <v>138.0</v>
      </c>
      <c r="B142" s="25" t="s">
        <v>421</v>
      </c>
      <c r="C142" s="26" t="s">
        <v>803</v>
      </c>
      <c r="D142" s="26" t="s">
        <v>804</v>
      </c>
      <c r="E142" s="26" t="s">
        <v>805</v>
      </c>
      <c r="F142" s="26" t="s">
        <v>806</v>
      </c>
      <c r="G142" s="26" t="s">
        <v>807</v>
      </c>
      <c r="H142" s="27" t="s">
        <v>154</v>
      </c>
    </row>
    <row r="143">
      <c r="A143" s="24">
        <v>139.0</v>
      </c>
      <c r="B143" s="25" t="s">
        <v>421</v>
      </c>
      <c r="C143" s="26" t="s">
        <v>809</v>
      </c>
      <c r="D143" s="26" t="s">
        <v>806</v>
      </c>
      <c r="E143" s="26" t="s">
        <v>810</v>
      </c>
      <c r="F143" s="26" t="s">
        <v>525</v>
      </c>
      <c r="G143" s="26" t="s">
        <v>807</v>
      </c>
      <c r="H143" s="27" t="s">
        <v>148</v>
      </c>
    </row>
    <row r="144">
      <c r="A144" s="24">
        <v>140.0</v>
      </c>
      <c r="B144" s="25" t="s">
        <v>421</v>
      </c>
      <c r="C144" s="26" t="s">
        <v>811</v>
      </c>
      <c r="D144" s="32" t="s">
        <v>812</v>
      </c>
      <c r="E144" s="32" t="s">
        <v>813</v>
      </c>
      <c r="F144" s="32" t="s">
        <v>814</v>
      </c>
      <c r="G144" s="32" t="s">
        <v>815</v>
      </c>
      <c r="H144" s="27" t="s">
        <v>161</v>
      </c>
    </row>
    <row r="145">
      <c r="A145" s="24">
        <v>141.0</v>
      </c>
      <c r="B145" s="25" t="s">
        <v>421</v>
      </c>
      <c r="C145" s="26" t="s">
        <v>816</v>
      </c>
      <c r="D145" s="31" t="s">
        <v>817</v>
      </c>
      <c r="E145" s="31" t="s">
        <v>818</v>
      </c>
      <c r="F145" s="31" t="s">
        <v>819</v>
      </c>
      <c r="G145" s="31" t="s">
        <v>820</v>
      </c>
      <c r="H145" s="27" t="s">
        <v>173</v>
      </c>
    </row>
    <row r="146">
      <c r="A146" s="24">
        <v>142.0</v>
      </c>
      <c r="B146" s="25" t="s">
        <v>421</v>
      </c>
      <c r="C146" s="26" t="s">
        <v>821</v>
      </c>
      <c r="D146" s="26" t="s">
        <v>822</v>
      </c>
      <c r="E146" s="26" t="s">
        <v>823</v>
      </c>
      <c r="F146" s="26" t="s">
        <v>824</v>
      </c>
      <c r="G146" s="26" t="s">
        <v>825</v>
      </c>
      <c r="H146" s="27" t="s">
        <v>154</v>
      </c>
    </row>
    <row r="147">
      <c r="A147" s="24">
        <v>143.0</v>
      </c>
      <c r="B147" s="25" t="s">
        <v>421</v>
      </c>
      <c r="C147" s="26" t="s">
        <v>827</v>
      </c>
      <c r="D147" s="31" t="s">
        <v>828</v>
      </c>
      <c r="E147" s="31" t="s">
        <v>830</v>
      </c>
      <c r="F147" s="31" t="s">
        <v>831</v>
      </c>
      <c r="G147" s="31" t="s">
        <v>394</v>
      </c>
      <c r="H147" s="27" t="s">
        <v>161</v>
      </c>
    </row>
    <row r="148">
      <c r="A148" s="24">
        <v>144.0</v>
      </c>
      <c r="B148" s="25" t="s">
        <v>421</v>
      </c>
      <c r="C148" s="26" t="s">
        <v>833</v>
      </c>
      <c r="D148" s="32" t="s">
        <v>834</v>
      </c>
      <c r="E148" s="32" t="s">
        <v>835</v>
      </c>
      <c r="F148" s="32" t="s">
        <v>836</v>
      </c>
      <c r="G148" s="32" t="s">
        <v>837</v>
      </c>
      <c r="H148" s="27" t="s">
        <v>173</v>
      </c>
    </row>
    <row r="149">
      <c r="A149" s="24">
        <v>145.0</v>
      </c>
      <c r="B149" s="25" t="s">
        <v>421</v>
      </c>
      <c r="C149" s="26" t="s">
        <v>838</v>
      </c>
      <c r="D149" s="32" t="s">
        <v>839</v>
      </c>
      <c r="E149" s="32" t="s">
        <v>840</v>
      </c>
      <c r="F149" s="32" t="s">
        <v>842</v>
      </c>
      <c r="G149" s="32" t="s">
        <v>843</v>
      </c>
      <c r="H149" s="27" t="s">
        <v>148</v>
      </c>
    </row>
    <row r="150">
      <c r="A150" s="24">
        <v>146.0</v>
      </c>
      <c r="B150" s="25" t="s">
        <v>421</v>
      </c>
      <c r="C150" s="26" t="s">
        <v>844</v>
      </c>
      <c r="D150" s="31" t="s">
        <v>845</v>
      </c>
      <c r="E150" s="31" t="s">
        <v>846</v>
      </c>
      <c r="F150" s="31" t="s">
        <v>847</v>
      </c>
      <c r="G150" s="31" t="s">
        <v>848</v>
      </c>
      <c r="H150" s="27" t="s">
        <v>173</v>
      </c>
    </row>
    <row r="151">
      <c r="A151" s="24">
        <v>147.0</v>
      </c>
      <c r="B151" s="25" t="s">
        <v>421</v>
      </c>
      <c r="C151" s="26" t="s">
        <v>850</v>
      </c>
      <c r="D151" s="32" t="s">
        <v>851</v>
      </c>
      <c r="E151" s="32" t="s">
        <v>852</v>
      </c>
      <c r="F151" s="32" t="s">
        <v>853</v>
      </c>
      <c r="G151" s="32" t="s">
        <v>854</v>
      </c>
      <c r="H151" s="27" t="s">
        <v>161</v>
      </c>
    </row>
    <row r="152">
      <c r="A152" s="24">
        <v>148.0</v>
      </c>
      <c r="B152" s="25" t="s">
        <v>421</v>
      </c>
      <c r="C152" s="26" t="s">
        <v>855</v>
      </c>
      <c r="D152" s="26" t="s">
        <v>856</v>
      </c>
      <c r="E152" s="26" t="s">
        <v>857</v>
      </c>
      <c r="F152" s="26" t="s">
        <v>859</v>
      </c>
      <c r="G152" s="26" t="s">
        <v>860</v>
      </c>
      <c r="H152" s="27" t="s">
        <v>148</v>
      </c>
    </row>
    <row r="153">
      <c r="A153" s="24">
        <v>149.0</v>
      </c>
      <c r="B153" s="25" t="s">
        <v>421</v>
      </c>
      <c r="C153" s="26" t="s">
        <v>862</v>
      </c>
      <c r="D153" s="32" t="s">
        <v>863</v>
      </c>
      <c r="E153" s="32" t="s">
        <v>864</v>
      </c>
      <c r="F153" s="32" t="s">
        <v>865</v>
      </c>
      <c r="G153" s="32" t="s">
        <v>866</v>
      </c>
      <c r="H153" s="27" t="s">
        <v>154</v>
      </c>
    </row>
    <row r="154">
      <c r="A154" s="24">
        <v>150.0</v>
      </c>
      <c r="B154" s="25" t="s">
        <v>421</v>
      </c>
      <c r="C154" s="26" t="s">
        <v>868</v>
      </c>
      <c r="D154" s="32" t="s">
        <v>869</v>
      </c>
      <c r="E154" s="32" t="s">
        <v>839</v>
      </c>
      <c r="F154" s="32" t="s">
        <v>870</v>
      </c>
      <c r="G154" s="32" t="s">
        <v>871</v>
      </c>
      <c r="H154" s="27" t="s">
        <v>161</v>
      </c>
    </row>
    <row r="155">
      <c r="A155" s="24">
        <v>151.0</v>
      </c>
      <c r="B155" s="25" t="s">
        <v>421</v>
      </c>
      <c r="C155" s="26" t="s">
        <v>872</v>
      </c>
      <c r="D155" s="31" t="s">
        <v>873</v>
      </c>
      <c r="E155" s="31" t="s">
        <v>874</v>
      </c>
      <c r="F155" s="31" t="s">
        <v>875</v>
      </c>
      <c r="G155" s="31" t="s">
        <v>876</v>
      </c>
      <c r="H155" s="27" t="s">
        <v>173</v>
      </c>
    </row>
    <row r="156">
      <c r="A156" s="24">
        <v>152.0</v>
      </c>
      <c r="B156" s="25" t="s">
        <v>421</v>
      </c>
      <c r="C156" s="26" t="s">
        <v>877</v>
      </c>
      <c r="D156" s="31" t="s">
        <v>878</v>
      </c>
      <c r="E156" s="31" t="s">
        <v>879</v>
      </c>
      <c r="F156" s="31" t="s">
        <v>880</v>
      </c>
      <c r="G156" s="31" t="s">
        <v>881</v>
      </c>
      <c r="H156" s="27" t="s">
        <v>148</v>
      </c>
    </row>
    <row r="157">
      <c r="A157" s="24">
        <v>153.0</v>
      </c>
      <c r="B157" s="25" t="s">
        <v>421</v>
      </c>
      <c r="C157" s="26" t="s">
        <v>882</v>
      </c>
      <c r="D157" s="31" t="s">
        <v>883</v>
      </c>
      <c r="E157" s="31" t="s">
        <v>884</v>
      </c>
      <c r="F157" s="31" t="s">
        <v>885</v>
      </c>
      <c r="G157" s="31" t="s">
        <v>886</v>
      </c>
      <c r="H157" s="27" t="s">
        <v>161</v>
      </c>
    </row>
    <row r="158">
      <c r="A158" s="24">
        <v>154.0</v>
      </c>
      <c r="B158" s="25" t="s">
        <v>421</v>
      </c>
      <c r="C158" s="26" t="s">
        <v>888</v>
      </c>
      <c r="D158" s="32" t="s">
        <v>889</v>
      </c>
      <c r="E158" s="32" t="s">
        <v>890</v>
      </c>
      <c r="F158" s="32" t="s">
        <v>891</v>
      </c>
      <c r="G158" s="32" t="s">
        <v>892</v>
      </c>
      <c r="H158" s="27" t="s">
        <v>148</v>
      </c>
    </row>
    <row r="159">
      <c r="A159" s="24">
        <v>155.0</v>
      </c>
      <c r="B159" s="25" t="s">
        <v>421</v>
      </c>
      <c r="C159" s="26" t="s">
        <v>893</v>
      </c>
      <c r="D159" s="32" t="s">
        <v>894</v>
      </c>
      <c r="E159" s="32" t="s">
        <v>891</v>
      </c>
      <c r="F159" s="32" t="s">
        <v>896</v>
      </c>
      <c r="G159" s="32" t="s">
        <v>897</v>
      </c>
      <c r="H159" s="27" t="s">
        <v>173</v>
      </c>
    </row>
    <row r="160">
      <c r="A160" s="24">
        <v>156.0</v>
      </c>
      <c r="B160" s="25" t="s">
        <v>421</v>
      </c>
      <c r="C160" s="26" t="s">
        <v>898</v>
      </c>
      <c r="D160" s="32" t="s">
        <v>899</v>
      </c>
      <c r="E160" s="32" t="s">
        <v>891</v>
      </c>
      <c r="F160" s="32" t="s">
        <v>896</v>
      </c>
      <c r="G160" s="32" t="s">
        <v>897</v>
      </c>
      <c r="H160" s="27" t="s">
        <v>148</v>
      </c>
    </row>
    <row r="161">
      <c r="A161" s="24">
        <v>157.0</v>
      </c>
      <c r="B161" s="25" t="s">
        <v>421</v>
      </c>
      <c r="C161" s="26" t="s">
        <v>900</v>
      </c>
      <c r="D161" s="32" t="s">
        <v>901</v>
      </c>
      <c r="E161" s="32" t="s">
        <v>902</v>
      </c>
      <c r="F161" s="32" t="s">
        <v>903</v>
      </c>
      <c r="G161" s="32" t="s">
        <v>904</v>
      </c>
      <c r="H161" s="27" t="s">
        <v>161</v>
      </c>
    </row>
    <row r="162">
      <c r="A162" s="24">
        <v>158.0</v>
      </c>
      <c r="B162" s="25" t="s">
        <v>421</v>
      </c>
      <c r="C162" s="26" t="s">
        <v>906</v>
      </c>
      <c r="D162" s="26" t="s">
        <v>907</v>
      </c>
      <c r="E162" s="26" t="s">
        <v>908</v>
      </c>
      <c r="F162" s="26" t="s">
        <v>909</v>
      </c>
      <c r="G162" s="26" t="s">
        <v>910</v>
      </c>
      <c r="H162" s="27" t="s">
        <v>173</v>
      </c>
    </row>
    <row r="163">
      <c r="A163" s="24">
        <v>159.0</v>
      </c>
      <c r="B163" s="25" t="s">
        <v>421</v>
      </c>
      <c r="C163" s="26" t="s">
        <v>911</v>
      </c>
      <c r="D163" s="31" t="s">
        <v>912</v>
      </c>
      <c r="E163" s="31" t="s">
        <v>913</v>
      </c>
      <c r="F163" s="31" t="s">
        <v>627</v>
      </c>
      <c r="G163" s="31" t="s">
        <v>914</v>
      </c>
      <c r="H163" s="27" t="s">
        <v>154</v>
      </c>
    </row>
    <row r="164">
      <c r="A164" s="24">
        <v>160.0</v>
      </c>
      <c r="B164" s="25" t="s">
        <v>421</v>
      </c>
      <c r="C164" s="26" t="s">
        <v>915</v>
      </c>
      <c r="D164" s="26" t="s">
        <v>916</v>
      </c>
      <c r="E164" s="26" t="s">
        <v>917</v>
      </c>
      <c r="F164" s="26" t="s">
        <v>918</v>
      </c>
      <c r="G164" s="26" t="s">
        <v>919</v>
      </c>
      <c r="H164" s="27" t="s">
        <v>148</v>
      </c>
    </row>
    <row r="165">
      <c r="A165" s="24">
        <v>161.0</v>
      </c>
      <c r="B165" s="25" t="s">
        <v>421</v>
      </c>
      <c r="C165" s="26" t="s">
        <v>920</v>
      </c>
      <c r="D165" s="26" t="s">
        <v>921</v>
      </c>
      <c r="E165" s="26" t="s">
        <v>922</v>
      </c>
      <c r="F165" s="26" t="s">
        <v>923</v>
      </c>
      <c r="G165" s="26" t="s">
        <v>924</v>
      </c>
      <c r="H165" s="27" t="s">
        <v>161</v>
      </c>
    </row>
    <row r="166">
      <c r="A166" s="24">
        <v>162.0</v>
      </c>
      <c r="B166" s="25" t="s">
        <v>421</v>
      </c>
      <c r="C166" s="26" t="s">
        <v>925</v>
      </c>
      <c r="D166" s="26" t="s">
        <v>926</v>
      </c>
      <c r="E166" s="26" t="s">
        <v>924</v>
      </c>
      <c r="F166" s="26" t="s">
        <v>927</v>
      </c>
      <c r="G166" s="26" t="s">
        <v>469</v>
      </c>
      <c r="H166" s="27" t="s">
        <v>173</v>
      </c>
    </row>
    <row r="167">
      <c r="A167" s="24">
        <v>163.0</v>
      </c>
      <c r="B167" s="25" t="s">
        <v>421</v>
      </c>
      <c r="C167" s="26" t="s">
        <v>929</v>
      </c>
      <c r="D167" s="32" t="s">
        <v>930</v>
      </c>
      <c r="E167" s="32" t="s">
        <v>931</v>
      </c>
      <c r="F167" s="32" t="s">
        <v>932</v>
      </c>
      <c r="G167" s="32" t="s">
        <v>934</v>
      </c>
      <c r="H167" s="27" t="s">
        <v>154</v>
      </c>
    </row>
    <row r="168">
      <c r="A168" s="24">
        <v>164.0</v>
      </c>
      <c r="B168" s="25" t="s">
        <v>421</v>
      </c>
      <c r="C168" s="26" t="s">
        <v>935</v>
      </c>
      <c r="D168" s="26" t="s">
        <v>936</v>
      </c>
      <c r="E168" s="26" t="s">
        <v>690</v>
      </c>
      <c r="F168" s="26" t="s">
        <v>937</v>
      </c>
      <c r="G168" s="26" t="s">
        <v>938</v>
      </c>
      <c r="H168" s="27" t="s">
        <v>161</v>
      </c>
    </row>
    <row r="169">
      <c r="A169" s="24">
        <v>165.0</v>
      </c>
      <c r="B169" s="25" t="s">
        <v>421</v>
      </c>
      <c r="C169" s="26" t="s">
        <v>939</v>
      </c>
      <c r="D169" s="26" t="s">
        <v>940</v>
      </c>
      <c r="E169" s="26" t="s">
        <v>941</v>
      </c>
      <c r="F169" s="26" t="s">
        <v>942</v>
      </c>
      <c r="G169" s="26" t="s">
        <v>4</v>
      </c>
      <c r="H169" s="27" t="s">
        <v>148</v>
      </c>
    </row>
    <row r="170">
      <c r="A170" s="24">
        <v>166.0</v>
      </c>
      <c r="B170" s="25" t="s">
        <v>421</v>
      </c>
      <c r="C170" s="26" t="s">
        <v>943</v>
      </c>
      <c r="D170" s="26" t="s">
        <v>944</v>
      </c>
      <c r="E170" s="26" t="s">
        <v>945</v>
      </c>
      <c r="F170" s="26" t="s">
        <v>946</v>
      </c>
      <c r="G170" s="26" t="s">
        <v>947</v>
      </c>
      <c r="H170" s="27" t="s">
        <v>161</v>
      </c>
    </row>
    <row r="171">
      <c r="A171" s="24">
        <v>167.0</v>
      </c>
      <c r="B171" s="25" t="s">
        <v>421</v>
      </c>
      <c r="C171" s="26" t="s">
        <v>949</v>
      </c>
      <c r="D171" s="26" t="s">
        <v>950</v>
      </c>
      <c r="E171" s="26" t="s">
        <v>951</v>
      </c>
      <c r="F171" s="26" t="s">
        <v>952</v>
      </c>
      <c r="G171" s="26" t="s">
        <v>953</v>
      </c>
      <c r="H171" s="27" t="s">
        <v>148</v>
      </c>
    </row>
    <row r="172">
      <c r="A172" s="24">
        <v>168.0</v>
      </c>
      <c r="B172" s="25" t="s">
        <v>421</v>
      </c>
      <c r="C172" s="26" t="s">
        <v>954</v>
      </c>
      <c r="D172" s="26" t="s">
        <v>955</v>
      </c>
      <c r="E172" s="26" t="s">
        <v>957</v>
      </c>
      <c r="F172" s="26" t="s">
        <v>958</v>
      </c>
      <c r="G172" s="26" t="s">
        <v>959</v>
      </c>
      <c r="H172" s="27" t="s">
        <v>173</v>
      </c>
    </row>
    <row r="173">
      <c r="A173" s="24">
        <v>169.0</v>
      </c>
      <c r="B173" s="25" t="s">
        <v>421</v>
      </c>
      <c r="C173" s="26" t="s">
        <v>960</v>
      </c>
      <c r="D173" s="26" t="s">
        <v>961</v>
      </c>
      <c r="E173" s="26" t="s">
        <v>962</v>
      </c>
      <c r="F173" s="26" t="s">
        <v>963</v>
      </c>
      <c r="G173" s="26" t="s">
        <v>964</v>
      </c>
      <c r="H173" s="27" t="s">
        <v>154</v>
      </c>
    </row>
    <row r="174" ht="24.0" customHeight="1">
      <c r="A174" s="24">
        <v>170.0</v>
      </c>
      <c r="B174" s="28" t="s">
        <v>421</v>
      </c>
      <c r="C174" s="29" t="s">
        <v>965</v>
      </c>
      <c r="D174" s="29" t="s">
        <v>966</v>
      </c>
      <c r="E174" s="29" t="s">
        <v>967</v>
      </c>
      <c r="F174" s="29" t="s">
        <v>968</v>
      </c>
      <c r="G174" s="29" t="s">
        <v>179</v>
      </c>
      <c r="H174" s="30" t="s">
        <v>148</v>
      </c>
    </row>
    <row r="175">
      <c r="A175" s="24">
        <v>171.0</v>
      </c>
      <c r="B175" s="25" t="s">
        <v>421</v>
      </c>
      <c r="C175" s="26" t="s">
        <v>969</v>
      </c>
      <c r="D175" s="26" t="s">
        <v>677</v>
      </c>
      <c r="E175" s="26" t="s">
        <v>568</v>
      </c>
      <c r="F175" s="26" t="s">
        <v>569</v>
      </c>
      <c r="G175" s="26" t="s">
        <v>576</v>
      </c>
      <c r="H175" s="27" t="s">
        <v>161</v>
      </c>
    </row>
    <row r="176">
      <c r="A176" s="24">
        <v>172.0</v>
      </c>
      <c r="B176" s="25" t="s">
        <v>421</v>
      </c>
      <c r="C176" s="26" t="s">
        <v>971</v>
      </c>
      <c r="D176" s="26" t="s">
        <v>570</v>
      </c>
      <c r="E176" s="26" t="s">
        <v>677</v>
      </c>
      <c r="F176" s="26" t="s">
        <v>972</v>
      </c>
      <c r="G176" s="26" t="s">
        <v>973</v>
      </c>
      <c r="H176" s="27" t="s">
        <v>148</v>
      </c>
    </row>
    <row r="177">
      <c r="A177" s="24">
        <v>173.0</v>
      </c>
      <c r="B177" s="25" t="s">
        <v>421</v>
      </c>
      <c r="C177" s="26" t="s">
        <v>974</v>
      </c>
      <c r="D177" s="26" t="s">
        <v>975</v>
      </c>
      <c r="E177" s="26" t="s">
        <v>976</v>
      </c>
      <c r="F177" s="26" t="s">
        <v>977</v>
      </c>
      <c r="G177" s="26" t="s">
        <v>576</v>
      </c>
      <c r="H177" s="27" t="s">
        <v>154</v>
      </c>
    </row>
    <row r="178">
      <c r="A178" s="24">
        <v>174.0</v>
      </c>
      <c r="B178" s="25" t="s">
        <v>421</v>
      </c>
      <c r="C178" s="26" t="s">
        <v>979</v>
      </c>
      <c r="D178" s="26" t="s">
        <v>980</v>
      </c>
      <c r="E178" s="26" t="s">
        <v>981</v>
      </c>
      <c r="F178" s="26" t="s">
        <v>982</v>
      </c>
      <c r="G178" s="26" t="s">
        <v>983</v>
      </c>
      <c r="H178" s="27" t="s">
        <v>161</v>
      </c>
    </row>
    <row r="179">
      <c r="A179" s="24">
        <v>175.0</v>
      </c>
      <c r="B179" s="25" t="s">
        <v>421</v>
      </c>
      <c r="C179" s="26" t="s">
        <v>984</v>
      </c>
      <c r="D179" s="26" t="s">
        <v>985</v>
      </c>
      <c r="E179" s="26" t="s">
        <v>986</v>
      </c>
      <c r="F179" s="26" t="s">
        <v>987</v>
      </c>
      <c r="G179" s="26" t="s">
        <v>179</v>
      </c>
      <c r="H179" s="27" t="s">
        <v>148</v>
      </c>
    </row>
    <row r="180">
      <c r="A180" s="24">
        <v>176.0</v>
      </c>
      <c r="B180" s="25" t="s">
        <v>421</v>
      </c>
      <c r="C180" s="26" t="s">
        <v>990</v>
      </c>
      <c r="D180" s="26" t="s">
        <v>991</v>
      </c>
      <c r="E180" s="26" t="s">
        <v>993</v>
      </c>
      <c r="F180" s="26" t="s">
        <v>994</v>
      </c>
      <c r="G180" s="26" t="s">
        <v>576</v>
      </c>
      <c r="H180" s="27" t="s">
        <v>161</v>
      </c>
    </row>
    <row r="181">
      <c r="A181" s="24">
        <v>177.0</v>
      </c>
      <c r="B181" s="25" t="s">
        <v>421</v>
      </c>
      <c r="C181" s="26" t="s">
        <v>995</v>
      </c>
      <c r="D181" s="26" t="s">
        <v>996</v>
      </c>
      <c r="E181" s="26" t="s">
        <v>997</v>
      </c>
      <c r="F181" s="26" t="s">
        <v>998</v>
      </c>
      <c r="G181" s="26" t="s">
        <v>999</v>
      </c>
      <c r="H181" s="27" t="s">
        <v>154</v>
      </c>
    </row>
    <row r="182">
      <c r="A182" s="24">
        <v>178.0</v>
      </c>
      <c r="B182" s="25" t="s">
        <v>421</v>
      </c>
      <c r="C182" s="26" t="s">
        <v>1000</v>
      </c>
      <c r="D182" s="26" t="s">
        <v>1001</v>
      </c>
      <c r="E182" s="26" t="s">
        <v>1002</v>
      </c>
      <c r="F182" s="26" t="s">
        <v>1003</v>
      </c>
      <c r="G182" s="26" t="s">
        <v>1004</v>
      </c>
      <c r="H182" s="27" t="s">
        <v>148</v>
      </c>
    </row>
    <row r="183">
      <c r="A183" s="24">
        <v>179.0</v>
      </c>
      <c r="B183" s="25" t="s">
        <v>421</v>
      </c>
      <c r="C183" s="26" t="s">
        <v>1005</v>
      </c>
      <c r="D183" s="26" t="s">
        <v>1006</v>
      </c>
      <c r="E183" s="26" t="s">
        <v>1007</v>
      </c>
      <c r="F183" s="26" t="s">
        <v>1008</v>
      </c>
      <c r="G183" s="26" t="s">
        <v>1009</v>
      </c>
      <c r="H183" s="27" t="s">
        <v>161</v>
      </c>
    </row>
    <row r="184">
      <c r="A184" s="24">
        <v>180.0</v>
      </c>
      <c r="B184" s="25" t="s">
        <v>421</v>
      </c>
      <c r="C184" s="26" t="s">
        <v>1010</v>
      </c>
      <c r="D184" s="26" t="s">
        <v>1011</v>
      </c>
      <c r="E184" s="26" t="s">
        <v>1013</v>
      </c>
      <c r="F184" s="26" t="s">
        <v>1014</v>
      </c>
      <c r="G184" s="26" t="s">
        <v>576</v>
      </c>
      <c r="H184" s="27" t="s">
        <v>154</v>
      </c>
    </row>
    <row r="185">
      <c r="A185" s="24">
        <v>181.0</v>
      </c>
      <c r="B185" s="25" t="s">
        <v>421</v>
      </c>
      <c r="C185" s="26" t="s">
        <v>1015</v>
      </c>
      <c r="D185" s="26" t="s">
        <v>1016</v>
      </c>
      <c r="E185" s="26" t="s">
        <v>1017</v>
      </c>
      <c r="F185" s="26" t="s">
        <v>1018</v>
      </c>
      <c r="G185" s="26" t="s">
        <v>1019</v>
      </c>
      <c r="H185" s="27" t="s">
        <v>161</v>
      </c>
    </row>
    <row r="186">
      <c r="A186" s="24">
        <v>182.0</v>
      </c>
      <c r="B186" s="25" t="s">
        <v>421</v>
      </c>
      <c r="C186" s="26" t="s">
        <v>1020</v>
      </c>
      <c r="D186" s="26" t="s">
        <v>1021</v>
      </c>
      <c r="E186" s="26" t="s">
        <v>1022</v>
      </c>
      <c r="F186" s="26" t="s">
        <v>1023</v>
      </c>
      <c r="G186" s="26" t="s">
        <v>1024</v>
      </c>
      <c r="H186" s="27" t="s">
        <v>154</v>
      </c>
    </row>
    <row r="187">
      <c r="A187" s="24">
        <v>183.0</v>
      </c>
      <c r="B187" s="25" t="s">
        <v>421</v>
      </c>
      <c r="C187" s="26" t="s">
        <v>1025</v>
      </c>
      <c r="D187" s="26" t="s">
        <v>1026</v>
      </c>
      <c r="E187" s="26" t="s">
        <v>1027</v>
      </c>
      <c r="F187" s="26" t="s">
        <v>1028</v>
      </c>
      <c r="G187" s="26" t="s">
        <v>1029</v>
      </c>
      <c r="H187" s="27" t="s">
        <v>173</v>
      </c>
    </row>
    <row r="188">
      <c r="A188" s="24">
        <v>184.0</v>
      </c>
      <c r="B188" s="25" t="s">
        <v>421</v>
      </c>
      <c r="C188" s="26" t="s">
        <v>1030</v>
      </c>
      <c r="D188" s="26" t="s">
        <v>1031</v>
      </c>
      <c r="E188" s="26" t="s">
        <v>1032</v>
      </c>
      <c r="F188" s="26" t="s">
        <v>1033</v>
      </c>
      <c r="G188" s="26" t="s">
        <v>1034</v>
      </c>
      <c r="H188" s="27" t="s">
        <v>173</v>
      </c>
    </row>
    <row r="189">
      <c r="A189" s="24">
        <v>185.0</v>
      </c>
      <c r="B189" s="25" t="s">
        <v>421</v>
      </c>
      <c r="C189" s="26" t="s">
        <v>1035</v>
      </c>
      <c r="D189" s="26" t="s">
        <v>1036</v>
      </c>
      <c r="E189" s="26" t="s">
        <v>1037</v>
      </c>
      <c r="F189" s="26" t="s">
        <v>1038</v>
      </c>
      <c r="G189" s="26" t="s">
        <v>1039</v>
      </c>
      <c r="H189" s="27" t="s">
        <v>161</v>
      </c>
    </row>
    <row r="190">
      <c r="A190" s="24">
        <v>186.0</v>
      </c>
      <c r="B190" s="25" t="s">
        <v>421</v>
      </c>
      <c r="C190" s="26" t="s">
        <v>1040</v>
      </c>
      <c r="D190" s="26" t="s">
        <v>1041</v>
      </c>
      <c r="E190" s="26" t="s">
        <v>1042</v>
      </c>
      <c r="F190" s="26" t="s">
        <v>1043</v>
      </c>
      <c r="G190" s="26" t="s">
        <v>1044</v>
      </c>
      <c r="H190" s="27" t="s">
        <v>161</v>
      </c>
    </row>
    <row r="191">
      <c r="A191" s="24">
        <v>187.0</v>
      </c>
      <c r="B191" s="25" t="s">
        <v>421</v>
      </c>
      <c r="C191" s="26" t="s">
        <v>1045</v>
      </c>
      <c r="D191" s="26" t="s">
        <v>1046</v>
      </c>
      <c r="E191" s="26" t="s">
        <v>1047</v>
      </c>
      <c r="F191" s="26" t="s">
        <v>1019</v>
      </c>
      <c r="G191" s="26" t="s">
        <v>1048</v>
      </c>
      <c r="H191" s="27" t="s">
        <v>161</v>
      </c>
    </row>
    <row r="192">
      <c r="A192" s="24">
        <v>188.0</v>
      </c>
      <c r="B192" s="25" t="s">
        <v>421</v>
      </c>
      <c r="C192" s="26" t="s">
        <v>1049</v>
      </c>
      <c r="D192" s="26" t="s">
        <v>913</v>
      </c>
      <c r="E192" s="26" t="s">
        <v>627</v>
      </c>
      <c r="F192" s="26" t="s">
        <v>628</v>
      </c>
      <c r="G192" s="26" t="s">
        <v>644</v>
      </c>
      <c r="H192" s="27" t="s">
        <v>173</v>
      </c>
    </row>
    <row r="193">
      <c r="A193" s="24">
        <v>189.0</v>
      </c>
      <c r="B193" s="25" t="s">
        <v>421</v>
      </c>
      <c r="C193" s="26" t="s">
        <v>1050</v>
      </c>
      <c r="D193" s="26" t="b">
        <v>1</v>
      </c>
      <c r="E193" s="26" t="b">
        <v>0</v>
      </c>
      <c r="F193" s="26"/>
      <c r="G193" s="26"/>
      <c r="H193" s="27" t="s">
        <v>173</v>
      </c>
    </row>
    <row r="194">
      <c r="A194" s="24">
        <v>190.0</v>
      </c>
      <c r="B194" s="25" t="s">
        <v>421</v>
      </c>
      <c r="C194" s="26" t="s">
        <v>1051</v>
      </c>
      <c r="D194" s="26" t="s">
        <v>1052</v>
      </c>
      <c r="E194" s="26" t="s">
        <v>1053</v>
      </c>
      <c r="F194" s="26" t="s">
        <v>1054</v>
      </c>
      <c r="G194" s="26" t="s">
        <v>179</v>
      </c>
      <c r="H194" s="27" t="s">
        <v>148</v>
      </c>
    </row>
    <row r="195">
      <c r="A195" s="24">
        <v>191.0</v>
      </c>
      <c r="B195" s="25" t="s">
        <v>421</v>
      </c>
      <c r="C195" s="26" t="s">
        <v>1055</v>
      </c>
      <c r="D195" s="26" t="s">
        <v>1056</v>
      </c>
      <c r="E195" s="26" t="s">
        <v>1057</v>
      </c>
      <c r="F195" s="26" t="s">
        <v>1058</v>
      </c>
      <c r="G195" s="26" t="s">
        <v>1059</v>
      </c>
      <c r="H195" s="27" t="s">
        <v>154</v>
      </c>
    </row>
    <row r="196">
      <c r="A196" s="24">
        <v>192.0</v>
      </c>
      <c r="B196" s="25" t="s">
        <v>421</v>
      </c>
      <c r="C196" s="26" t="s">
        <v>1060</v>
      </c>
      <c r="D196" s="26" t="e">
        <v>#VALUE!</v>
      </c>
      <c r="E196" s="26">
        <v>0.0</v>
      </c>
      <c r="F196" s="26" t="e">
        <v>#NUM!</v>
      </c>
      <c r="G196" s="26" t="e">
        <v>#N/A</v>
      </c>
      <c r="H196" s="27" t="s">
        <v>161</v>
      </c>
    </row>
    <row r="197">
      <c r="A197" s="24">
        <v>193.0</v>
      </c>
      <c r="B197" s="25" t="s">
        <v>421</v>
      </c>
      <c r="C197" s="26" t="s">
        <v>1061</v>
      </c>
      <c r="D197" s="26" t="s">
        <v>1062</v>
      </c>
      <c r="E197" s="26" t="s">
        <v>1063</v>
      </c>
      <c r="F197" s="26" t="s">
        <v>1064</v>
      </c>
      <c r="G197" s="26" t="s">
        <v>1065</v>
      </c>
      <c r="H197" s="27" t="s">
        <v>161</v>
      </c>
    </row>
    <row r="198">
      <c r="A198" s="24">
        <v>194.0</v>
      </c>
      <c r="B198" s="25" t="s">
        <v>421</v>
      </c>
      <c r="C198" s="26" t="s">
        <v>1066</v>
      </c>
      <c r="D198" s="26" t="s">
        <v>1067</v>
      </c>
      <c r="E198" s="26" t="s">
        <v>1069</v>
      </c>
      <c r="F198" s="26" t="s">
        <v>691</v>
      </c>
      <c r="G198" s="26" t="s">
        <v>714</v>
      </c>
      <c r="H198" s="27" t="s">
        <v>173</v>
      </c>
    </row>
    <row r="199">
      <c r="A199" s="24">
        <v>195.0</v>
      </c>
      <c r="B199" s="25" t="s">
        <v>421</v>
      </c>
      <c r="C199" s="26" t="s">
        <v>1070</v>
      </c>
      <c r="D199" s="26" t="s">
        <v>1071</v>
      </c>
      <c r="E199" s="26" t="s">
        <v>1072</v>
      </c>
      <c r="F199" s="26" t="s">
        <v>1073</v>
      </c>
      <c r="G199" s="26" t="s">
        <v>307</v>
      </c>
      <c r="H199" s="27" t="s">
        <v>148</v>
      </c>
    </row>
    <row r="200">
      <c r="A200" s="24">
        <v>196.0</v>
      </c>
      <c r="B200" s="25" t="s">
        <v>421</v>
      </c>
      <c r="C200" s="26" t="s">
        <v>1074</v>
      </c>
      <c r="D200" s="26" t="s">
        <v>1075</v>
      </c>
      <c r="E200" s="26" t="s">
        <v>1076</v>
      </c>
      <c r="F200" s="26" t="s">
        <v>1077</v>
      </c>
      <c r="G200" s="26" t="s">
        <v>1078</v>
      </c>
      <c r="H200" s="27" t="s">
        <v>154</v>
      </c>
    </row>
    <row r="201">
      <c r="A201" s="24">
        <v>197.0</v>
      </c>
      <c r="B201" s="25" t="s">
        <v>421</v>
      </c>
      <c r="C201" s="26" t="s">
        <v>1079</v>
      </c>
      <c r="D201" s="26" t="s">
        <v>1080</v>
      </c>
      <c r="E201" s="26" t="s">
        <v>1081</v>
      </c>
      <c r="F201" s="26" t="s">
        <v>1082</v>
      </c>
      <c r="G201" s="26" t="s">
        <v>1083</v>
      </c>
      <c r="H201" s="27" t="s">
        <v>161</v>
      </c>
    </row>
    <row r="202">
      <c r="A202" s="24">
        <v>198.0</v>
      </c>
      <c r="B202" s="25" t="s">
        <v>421</v>
      </c>
      <c r="C202" s="26" t="s">
        <v>1084</v>
      </c>
      <c r="D202" s="26" t="s">
        <v>1085</v>
      </c>
      <c r="E202" s="26" t="s">
        <v>1086</v>
      </c>
      <c r="F202" s="26" t="s">
        <v>1087</v>
      </c>
      <c r="G202" s="26" t="s">
        <v>1088</v>
      </c>
      <c r="H202" s="27" t="s">
        <v>173</v>
      </c>
    </row>
    <row r="203">
      <c r="A203" s="24">
        <v>199.0</v>
      </c>
      <c r="B203" s="25" t="s">
        <v>421</v>
      </c>
      <c r="C203" s="26" t="s">
        <v>1089</v>
      </c>
      <c r="D203" s="26" t="s">
        <v>1086</v>
      </c>
      <c r="E203" s="26" t="s">
        <v>1085</v>
      </c>
      <c r="F203" s="26" t="s">
        <v>1087</v>
      </c>
      <c r="G203" s="26" t="s">
        <v>1090</v>
      </c>
      <c r="H203" s="27" t="s">
        <v>148</v>
      </c>
    </row>
    <row r="204">
      <c r="A204" s="24">
        <v>200.0</v>
      </c>
      <c r="B204" s="25" t="s">
        <v>421</v>
      </c>
      <c r="C204" s="26" t="s">
        <v>1091</v>
      </c>
      <c r="D204" s="26" t="s">
        <v>1092</v>
      </c>
      <c r="E204" s="26" t="s">
        <v>693</v>
      </c>
      <c r="F204" s="26" t="s">
        <v>692</v>
      </c>
      <c r="G204" s="26" t="s">
        <v>1093</v>
      </c>
      <c r="H204" s="27" t="s">
        <v>161</v>
      </c>
    </row>
    <row r="205">
      <c r="A205" s="24">
        <v>201.0</v>
      </c>
      <c r="B205" s="25" t="s">
        <v>421</v>
      </c>
      <c r="C205" s="26" t="s">
        <v>1095</v>
      </c>
      <c r="D205" s="26" t="s">
        <v>1096</v>
      </c>
      <c r="E205" s="26" t="s">
        <v>1097</v>
      </c>
      <c r="F205" s="26" t="s">
        <v>1098</v>
      </c>
      <c r="G205" s="26" t="s">
        <v>1099</v>
      </c>
      <c r="H205" s="27" t="s">
        <v>148</v>
      </c>
    </row>
    <row r="206">
      <c r="A206" s="24">
        <v>202.0</v>
      </c>
      <c r="B206" s="25" t="s">
        <v>421</v>
      </c>
      <c r="C206" s="26" t="s">
        <v>1100</v>
      </c>
      <c r="D206" s="26" t="s">
        <v>1101</v>
      </c>
      <c r="E206" s="26" t="s">
        <v>438</v>
      </c>
      <c r="F206" s="26" t="s">
        <v>1102</v>
      </c>
      <c r="G206" s="26" t="s">
        <v>299</v>
      </c>
      <c r="H206" s="27" t="s">
        <v>154</v>
      </c>
    </row>
    <row r="207">
      <c r="A207" s="24">
        <v>203.0</v>
      </c>
      <c r="B207" s="25" t="s">
        <v>421</v>
      </c>
      <c r="C207" s="26" t="s">
        <v>1103</v>
      </c>
      <c r="D207" s="26" t="s">
        <v>1104</v>
      </c>
      <c r="E207" s="26" t="s">
        <v>287</v>
      </c>
      <c r="F207" s="26" t="s">
        <v>1105</v>
      </c>
      <c r="G207" s="26" t="s">
        <v>1106</v>
      </c>
      <c r="H207" s="27" t="s">
        <v>173</v>
      </c>
    </row>
    <row r="208">
      <c r="A208" s="24">
        <v>204.0</v>
      </c>
      <c r="B208" s="25" t="s">
        <v>421</v>
      </c>
      <c r="C208" s="26" t="s">
        <v>1107</v>
      </c>
      <c r="D208" s="26" t="s">
        <v>1108</v>
      </c>
      <c r="E208" s="26" t="s">
        <v>1109</v>
      </c>
      <c r="F208" s="26" t="s">
        <v>1110</v>
      </c>
      <c r="G208" s="26" t="s">
        <v>1111</v>
      </c>
      <c r="H208" s="27" t="s">
        <v>173</v>
      </c>
    </row>
    <row r="209">
      <c r="A209" s="24">
        <v>205.0</v>
      </c>
      <c r="B209" s="25" t="s">
        <v>421</v>
      </c>
      <c r="C209" s="26" t="s">
        <v>1112</v>
      </c>
      <c r="D209" s="26" t="s">
        <v>1113</v>
      </c>
      <c r="E209" s="26" t="s">
        <v>1114</v>
      </c>
      <c r="F209" s="26" t="s">
        <v>622</v>
      </c>
      <c r="G209" s="26" t="s">
        <v>179</v>
      </c>
      <c r="H209" s="27" t="s">
        <v>173</v>
      </c>
    </row>
    <row r="210">
      <c r="A210" s="24">
        <v>206.0</v>
      </c>
      <c r="B210" s="25" t="s">
        <v>421</v>
      </c>
      <c r="C210" s="26" t="s">
        <v>1115</v>
      </c>
      <c r="D210" s="26" t="s">
        <v>1116</v>
      </c>
      <c r="E210" s="26" t="s">
        <v>1117</v>
      </c>
      <c r="F210" s="26" t="s">
        <v>1118</v>
      </c>
      <c r="G210" s="26" t="s">
        <v>576</v>
      </c>
      <c r="H210" s="27" t="s">
        <v>154</v>
      </c>
    </row>
    <row r="211">
      <c r="A211" s="24">
        <v>207.0</v>
      </c>
      <c r="B211" s="25" t="s">
        <v>421</v>
      </c>
      <c r="C211" s="26" t="s">
        <v>1119</v>
      </c>
      <c r="D211" s="26" t="s">
        <v>1120</v>
      </c>
      <c r="E211" s="26" t="s">
        <v>1121</v>
      </c>
      <c r="F211" s="26" t="s">
        <v>1122</v>
      </c>
      <c r="G211" s="26" t="s">
        <v>576</v>
      </c>
      <c r="H211" s="27" t="s">
        <v>154</v>
      </c>
    </row>
    <row r="212">
      <c r="A212" s="24">
        <v>208.0</v>
      </c>
      <c r="B212" s="25" t="s">
        <v>421</v>
      </c>
      <c r="C212" s="26" t="s">
        <v>1123</v>
      </c>
      <c r="D212" s="26" t="s">
        <v>1124</v>
      </c>
      <c r="E212" s="26" t="s">
        <v>1125</v>
      </c>
      <c r="F212" s="26" t="s">
        <v>1126</v>
      </c>
      <c r="G212" s="26" t="s">
        <v>1127</v>
      </c>
      <c r="H212" s="27" t="s">
        <v>161</v>
      </c>
    </row>
    <row r="213">
      <c r="A213" s="24">
        <v>209.0</v>
      </c>
      <c r="B213" s="25" t="s">
        <v>421</v>
      </c>
      <c r="C213" s="26" t="s">
        <v>1129</v>
      </c>
      <c r="D213" s="26" t="s">
        <v>1130</v>
      </c>
      <c r="E213" s="26" t="s">
        <v>1131</v>
      </c>
      <c r="F213" s="26" t="s">
        <v>1132</v>
      </c>
      <c r="G213" s="26" t="s">
        <v>1133</v>
      </c>
      <c r="H213" s="27" t="s">
        <v>173</v>
      </c>
    </row>
    <row r="214">
      <c r="A214" s="24">
        <v>210.0</v>
      </c>
      <c r="B214" s="25" t="s">
        <v>421</v>
      </c>
      <c r="C214" s="26" t="s">
        <v>1134</v>
      </c>
      <c r="D214" s="26" t="s">
        <v>1136</v>
      </c>
      <c r="E214" s="26" t="s">
        <v>1137</v>
      </c>
      <c r="F214" s="26" t="s">
        <v>1138</v>
      </c>
      <c r="G214" s="26" t="s">
        <v>307</v>
      </c>
      <c r="H214" s="27" t="s">
        <v>173</v>
      </c>
    </row>
    <row r="215">
      <c r="A215" s="24">
        <v>211.0</v>
      </c>
      <c r="B215" s="25" t="s">
        <v>421</v>
      </c>
      <c r="C215" s="26" t="s">
        <v>1139</v>
      </c>
      <c r="D215" s="26" t="s">
        <v>781</v>
      </c>
      <c r="E215" s="26" t="s">
        <v>780</v>
      </c>
      <c r="F215" s="26" t="s">
        <v>1141</v>
      </c>
      <c r="G215" s="26" t="s">
        <v>1142</v>
      </c>
      <c r="H215" s="27" t="s">
        <v>148</v>
      </c>
    </row>
    <row r="216">
      <c r="A216" s="24">
        <v>212.0</v>
      </c>
      <c r="B216" s="25" t="s">
        <v>421</v>
      </c>
      <c r="C216" s="26" t="s">
        <v>1143</v>
      </c>
      <c r="D216" s="26" t="s">
        <v>1144</v>
      </c>
      <c r="E216" s="26" t="s">
        <v>1145</v>
      </c>
      <c r="F216" s="26" t="s">
        <v>1147</v>
      </c>
      <c r="G216" s="26" t="s">
        <v>1148</v>
      </c>
      <c r="H216" s="27" t="s">
        <v>161</v>
      </c>
    </row>
    <row r="217">
      <c r="A217" s="24">
        <v>213.0</v>
      </c>
      <c r="B217" s="25" t="s">
        <v>421</v>
      </c>
      <c r="C217" s="26" t="s">
        <v>1149</v>
      </c>
      <c r="D217" s="26" t="s">
        <v>1150</v>
      </c>
      <c r="E217" s="26" t="s">
        <v>1151</v>
      </c>
      <c r="F217" s="26" t="s">
        <v>1152</v>
      </c>
      <c r="G217" s="26" t="s">
        <v>1153</v>
      </c>
      <c r="H217" s="27" t="s">
        <v>148</v>
      </c>
    </row>
    <row r="218">
      <c r="A218" s="24">
        <v>214.0</v>
      </c>
      <c r="B218" s="25" t="s">
        <v>421</v>
      </c>
      <c r="C218" s="26" t="s">
        <v>1154</v>
      </c>
      <c r="D218" s="26" t="s">
        <v>781</v>
      </c>
      <c r="E218" s="26" t="s">
        <v>780</v>
      </c>
      <c r="F218" s="26" t="s">
        <v>1141</v>
      </c>
      <c r="G218" s="26" t="s">
        <v>1142</v>
      </c>
      <c r="H218" s="27" t="s">
        <v>161</v>
      </c>
    </row>
    <row r="219">
      <c r="A219" s="24">
        <v>215.0</v>
      </c>
      <c r="B219" s="25" t="s">
        <v>421</v>
      </c>
      <c r="C219" s="26" t="s">
        <v>1155</v>
      </c>
      <c r="D219" s="31" t="s">
        <v>1156</v>
      </c>
      <c r="E219" s="31" t="s">
        <v>1157</v>
      </c>
      <c r="F219" s="26" t="s">
        <v>1158</v>
      </c>
      <c r="G219" s="26" t="s">
        <v>1160</v>
      </c>
      <c r="H219" s="27" t="s">
        <v>173</v>
      </c>
    </row>
    <row r="220">
      <c r="A220" s="24">
        <v>216.0</v>
      </c>
      <c r="B220" s="25" t="s">
        <v>421</v>
      </c>
      <c r="C220" s="26" t="s">
        <v>1161</v>
      </c>
      <c r="D220" s="26" t="s">
        <v>926</v>
      </c>
      <c r="E220" s="26" t="s">
        <v>1164</v>
      </c>
      <c r="F220" s="26" t="s">
        <v>1165</v>
      </c>
      <c r="G220" s="26" t="s">
        <v>1167</v>
      </c>
      <c r="H220" s="27" t="s">
        <v>173</v>
      </c>
    </row>
    <row r="221">
      <c r="A221" s="24">
        <v>217.0</v>
      </c>
      <c r="B221" s="25" t="s">
        <v>421</v>
      </c>
      <c r="C221" s="26" t="s">
        <v>1169</v>
      </c>
      <c r="D221" s="26" t="s">
        <v>1170</v>
      </c>
      <c r="E221" s="26" t="s">
        <v>1171</v>
      </c>
      <c r="F221" s="26" t="s">
        <v>1172</v>
      </c>
      <c r="G221" s="26" t="s">
        <v>1173</v>
      </c>
      <c r="H221" s="27" t="s">
        <v>173</v>
      </c>
    </row>
    <row r="222">
      <c r="A222" s="24">
        <v>218.0</v>
      </c>
      <c r="B222" s="25" t="s">
        <v>421</v>
      </c>
      <c r="C222" s="26" t="s">
        <v>1177</v>
      </c>
      <c r="D222" s="26" t="s">
        <v>1178</v>
      </c>
      <c r="E222" s="26" t="s">
        <v>1180</v>
      </c>
      <c r="F222" s="26" t="s">
        <v>1181</v>
      </c>
      <c r="G222" s="26" t="s">
        <v>1182</v>
      </c>
      <c r="H222" s="27" t="s">
        <v>173</v>
      </c>
    </row>
    <row r="223">
      <c r="A223" s="24">
        <v>219.0</v>
      </c>
      <c r="B223" s="25" t="s">
        <v>421</v>
      </c>
      <c r="C223" s="26" t="s">
        <v>1183</v>
      </c>
      <c r="D223" s="32" t="s">
        <v>1184</v>
      </c>
      <c r="E223" s="32" t="s">
        <v>1185</v>
      </c>
      <c r="F223" s="26" t="s">
        <v>644</v>
      </c>
      <c r="G223" s="26" t="s">
        <v>179</v>
      </c>
      <c r="H223" s="27" t="s">
        <v>173</v>
      </c>
    </row>
    <row r="224">
      <c r="A224" s="24">
        <v>220.0</v>
      </c>
      <c r="B224" s="25" t="s">
        <v>421</v>
      </c>
      <c r="C224" s="26" t="s">
        <v>1187</v>
      </c>
      <c r="D224" s="26" t="s">
        <v>1188</v>
      </c>
      <c r="E224" s="26" t="s">
        <v>1189</v>
      </c>
      <c r="F224" s="26" t="s">
        <v>1191</v>
      </c>
      <c r="G224" s="26" t="s">
        <v>1192</v>
      </c>
      <c r="H224" s="27" t="s">
        <v>148</v>
      </c>
    </row>
    <row r="225">
      <c r="A225" s="24">
        <v>221.0</v>
      </c>
      <c r="B225" s="25" t="s">
        <v>421</v>
      </c>
      <c r="C225" s="26" t="s">
        <v>1193</v>
      </c>
      <c r="D225" s="26" t="s">
        <v>1194</v>
      </c>
      <c r="E225" s="26" t="s">
        <v>1195</v>
      </c>
      <c r="F225" s="26" t="s">
        <v>1196</v>
      </c>
      <c r="G225" s="26" t="s">
        <v>1197</v>
      </c>
      <c r="H225" s="27" t="s">
        <v>161</v>
      </c>
    </row>
    <row r="226">
      <c r="A226" s="24">
        <v>222.0</v>
      </c>
      <c r="B226" s="25" t="s">
        <v>421</v>
      </c>
      <c r="C226" s="26" t="s">
        <v>1198</v>
      </c>
      <c r="D226" s="26" t="s">
        <v>1199</v>
      </c>
      <c r="E226" s="26" t="s">
        <v>1200</v>
      </c>
      <c r="F226" s="26" t="s">
        <v>1201</v>
      </c>
      <c r="G226" s="26" t="s">
        <v>1202</v>
      </c>
      <c r="H226" s="27" t="s">
        <v>148</v>
      </c>
    </row>
    <row r="227">
      <c r="A227" s="24">
        <v>223.0</v>
      </c>
      <c r="B227" s="25" t="s">
        <v>421</v>
      </c>
      <c r="C227" s="26" t="s">
        <v>1203</v>
      </c>
      <c r="D227" s="26" t="s">
        <v>1199</v>
      </c>
      <c r="E227" s="26" t="s">
        <v>1200</v>
      </c>
      <c r="F227" s="26" t="s">
        <v>1204</v>
      </c>
      <c r="G227" s="26" t="s">
        <v>1205</v>
      </c>
      <c r="H227" s="27" t="s">
        <v>161</v>
      </c>
    </row>
    <row r="228">
      <c r="A228" s="24">
        <v>224.0</v>
      </c>
      <c r="B228" s="25" t="s">
        <v>421</v>
      </c>
      <c r="C228" s="26" t="s">
        <v>1206</v>
      </c>
      <c r="D228" s="26" t="s">
        <v>1207</v>
      </c>
      <c r="E228" s="26" t="s">
        <v>1208</v>
      </c>
      <c r="F228" s="26" t="s">
        <v>1210</v>
      </c>
      <c r="G228" s="26" t="s">
        <v>1211</v>
      </c>
      <c r="H228" s="27" t="s">
        <v>161</v>
      </c>
    </row>
    <row r="229">
      <c r="A229" s="24">
        <v>225.0</v>
      </c>
      <c r="B229" s="25" t="s">
        <v>421</v>
      </c>
      <c r="C229" s="26" t="s">
        <v>1212</v>
      </c>
      <c r="D229" s="26" t="s">
        <v>1213</v>
      </c>
      <c r="E229" s="26" t="s">
        <v>1214</v>
      </c>
      <c r="F229" s="26" t="s">
        <v>1215</v>
      </c>
      <c r="G229" s="26" t="s">
        <v>1216</v>
      </c>
      <c r="H229" s="27" t="s">
        <v>148</v>
      </c>
    </row>
    <row r="230">
      <c r="A230" s="24">
        <v>226.0</v>
      </c>
      <c r="B230" s="25" t="s">
        <v>421</v>
      </c>
      <c r="C230" s="26" t="s">
        <v>1217</v>
      </c>
      <c r="D230" s="26" t="s">
        <v>1218</v>
      </c>
      <c r="E230" s="26" t="s">
        <v>1219</v>
      </c>
      <c r="F230" s="26" t="s">
        <v>1220</v>
      </c>
      <c r="G230" s="26" t="s">
        <v>1221</v>
      </c>
      <c r="H230" s="27" t="s">
        <v>173</v>
      </c>
    </row>
    <row r="231">
      <c r="A231" s="24">
        <v>227.0</v>
      </c>
      <c r="B231" s="25" t="s">
        <v>421</v>
      </c>
      <c r="C231" s="26" t="s">
        <v>1222</v>
      </c>
      <c r="D231" s="26" t="s">
        <v>1223</v>
      </c>
      <c r="E231" s="26" t="s">
        <v>1224</v>
      </c>
      <c r="F231" s="26" t="s">
        <v>1225</v>
      </c>
      <c r="G231" s="26" t="s">
        <v>1226</v>
      </c>
      <c r="H231" s="27" t="s">
        <v>148</v>
      </c>
    </row>
    <row r="232">
      <c r="A232" s="24">
        <v>228.0</v>
      </c>
      <c r="B232" s="25" t="s">
        <v>421</v>
      </c>
      <c r="C232" s="26" t="s">
        <v>1227</v>
      </c>
      <c r="D232" s="26" t="s">
        <v>1228</v>
      </c>
      <c r="E232" s="26" t="s">
        <v>1229</v>
      </c>
      <c r="F232" s="26" t="s">
        <v>1230</v>
      </c>
      <c r="G232" s="26" t="s">
        <v>1231</v>
      </c>
      <c r="H232" s="27" t="s">
        <v>148</v>
      </c>
    </row>
    <row r="233">
      <c r="A233" s="24">
        <v>229.0</v>
      </c>
      <c r="B233" s="25" t="s">
        <v>421</v>
      </c>
      <c r="C233" s="26" t="s">
        <v>1232</v>
      </c>
      <c r="D233" s="26" t="s">
        <v>1233</v>
      </c>
      <c r="E233" s="26" t="s">
        <v>1234</v>
      </c>
      <c r="F233" s="26" t="s">
        <v>1235</v>
      </c>
      <c r="G233" s="26" t="s">
        <v>1236</v>
      </c>
      <c r="H233" s="27" t="s">
        <v>161</v>
      </c>
    </row>
    <row r="234">
      <c r="A234" s="24">
        <v>230.0</v>
      </c>
      <c r="B234" s="25" t="s">
        <v>421</v>
      </c>
      <c r="C234" s="26" t="s">
        <v>1238</v>
      </c>
      <c r="D234" s="26" t="s">
        <v>1239</v>
      </c>
      <c r="E234" s="26" t="s">
        <v>1240</v>
      </c>
      <c r="F234" s="26" t="s">
        <v>1241</v>
      </c>
      <c r="G234" s="26" t="s">
        <v>1242</v>
      </c>
      <c r="H234" s="27" t="s">
        <v>148</v>
      </c>
    </row>
    <row r="235">
      <c r="A235" s="24">
        <v>231.0</v>
      </c>
      <c r="B235" s="25" t="s">
        <v>421</v>
      </c>
      <c r="C235" s="26" t="s">
        <v>1243</v>
      </c>
      <c r="D235" s="26" t="s">
        <v>1244</v>
      </c>
      <c r="E235" s="26" t="s">
        <v>1245</v>
      </c>
      <c r="F235" s="26" t="s">
        <v>1246</v>
      </c>
      <c r="G235" s="26" t="s">
        <v>179</v>
      </c>
      <c r="H235" s="27" t="s">
        <v>148</v>
      </c>
    </row>
    <row r="236">
      <c r="A236" s="24">
        <v>232.0</v>
      </c>
      <c r="B236" s="25" t="s">
        <v>421</v>
      </c>
      <c r="C236" s="26" t="s">
        <v>1247</v>
      </c>
      <c r="D236" s="26" t="s">
        <v>1248</v>
      </c>
      <c r="E236" s="26" t="s">
        <v>1249</v>
      </c>
      <c r="F236" s="26" t="s">
        <v>1250</v>
      </c>
      <c r="G236" s="26" t="s">
        <v>576</v>
      </c>
      <c r="H236" s="27" t="s">
        <v>154</v>
      </c>
    </row>
    <row r="237">
      <c r="A237" s="24">
        <v>233.0</v>
      </c>
      <c r="B237" s="25" t="s">
        <v>421</v>
      </c>
      <c r="C237" s="26" t="s">
        <v>1251</v>
      </c>
      <c r="D237" s="26" t="s">
        <v>1253</v>
      </c>
      <c r="E237" s="26" t="s">
        <v>1254</v>
      </c>
      <c r="F237" s="26" t="s">
        <v>1255</v>
      </c>
      <c r="G237" s="26" t="s">
        <v>644</v>
      </c>
      <c r="H237" s="27" t="s">
        <v>154</v>
      </c>
    </row>
    <row r="238">
      <c r="A238" s="24">
        <v>234.0</v>
      </c>
      <c r="B238" s="25" t="s">
        <v>421</v>
      </c>
      <c r="C238" s="26" t="s">
        <v>1256</v>
      </c>
      <c r="D238" s="26" t="e">
        <v>#VALUE!</v>
      </c>
      <c r="E238" s="26" t="s">
        <v>1257</v>
      </c>
      <c r="F238" s="26" t="e">
        <v>#N/A</v>
      </c>
      <c r="G238" s="26" t="e">
        <v>#NUM!</v>
      </c>
      <c r="H238" s="27" t="s">
        <v>173</v>
      </c>
    </row>
    <row r="239">
      <c r="A239" s="24">
        <v>235.0</v>
      </c>
      <c r="B239" s="25" t="s">
        <v>421</v>
      </c>
      <c r="C239" s="26" t="s">
        <v>1258</v>
      </c>
      <c r="D239" s="26" t="s">
        <v>1259</v>
      </c>
      <c r="E239" s="26" t="s">
        <v>1260</v>
      </c>
      <c r="F239" s="26" t="s">
        <v>1262</v>
      </c>
      <c r="G239" s="26" t="s">
        <v>1263</v>
      </c>
      <c r="H239" s="27" t="s">
        <v>161</v>
      </c>
    </row>
    <row r="240">
      <c r="A240" s="21" t="s">
        <v>1264</v>
      </c>
      <c r="B240" s="22"/>
      <c r="C240" s="22"/>
      <c r="D240" s="22"/>
      <c r="E240" s="22"/>
      <c r="F240" s="22"/>
      <c r="G240" s="22"/>
      <c r="H240" s="23"/>
    </row>
    <row r="241">
      <c r="A241" s="24">
        <v>236.0</v>
      </c>
      <c r="B241" s="25" t="s">
        <v>1268</v>
      </c>
      <c r="C241" s="26" t="s">
        <v>1269</v>
      </c>
      <c r="D241" s="26" t="s">
        <v>1270</v>
      </c>
      <c r="E241" s="26" t="s">
        <v>1271</v>
      </c>
      <c r="F241" s="26" t="s">
        <v>1272</v>
      </c>
      <c r="G241" s="26" t="s">
        <v>1273</v>
      </c>
      <c r="H241" s="27" t="s">
        <v>148</v>
      </c>
    </row>
    <row r="242">
      <c r="A242" s="24">
        <v>237.0</v>
      </c>
      <c r="B242" s="25" t="s">
        <v>1268</v>
      </c>
      <c r="C242" s="26" t="s">
        <v>1274</v>
      </c>
      <c r="D242" s="26" t="s">
        <v>1275</v>
      </c>
      <c r="E242" s="26" t="s">
        <v>1276</v>
      </c>
      <c r="F242" s="26" t="s">
        <v>1277</v>
      </c>
      <c r="G242" s="26" t="s">
        <v>1279</v>
      </c>
      <c r="H242" s="27" t="s">
        <v>173</v>
      </c>
    </row>
    <row r="243">
      <c r="A243" s="24">
        <v>238.0</v>
      </c>
      <c r="B243" s="25" t="s">
        <v>1268</v>
      </c>
      <c r="C243" s="26" t="s">
        <v>1280</v>
      </c>
      <c r="D243" s="26" t="s">
        <v>1281</v>
      </c>
      <c r="E243" s="26" t="s">
        <v>1281</v>
      </c>
      <c r="F243" s="26" t="s">
        <v>1282</v>
      </c>
      <c r="G243" s="26" t="s">
        <v>1283</v>
      </c>
      <c r="H243" s="27" t="s">
        <v>173</v>
      </c>
    </row>
    <row r="244">
      <c r="A244" s="24">
        <v>239.0</v>
      </c>
      <c r="B244" s="25" t="s">
        <v>1268</v>
      </c>
      <c r="C244" s="26" t="s">
        <v>1285</v>
      </c>
      <c r="D244" s="26" t="s">
        <v>1286</v>
      </c>
      <c r="E244" s="26" t="s">
        <v>1287</v>
      </c>
      <c r="F244" s="26" t="s">
        <v>1288</v>
      </c>
      <c r="G244" s="26" t="s">
        <v>1289</v>
      </c>
      <c r="H244" s="27" t="s">
        <v>173</v>
      </c>
    </row>
    <row r="245">
      <c r="A245" s="24">
        <v>240.0</v>
      </c>
      <c r="B245" s="25" t="s">
        <v>1268</v>
      </c>
      <c r="C245" s="26" t="s">
        <v>1290</v>
      </c>
      <c r="D245" s="26" t="s">
        <v>1291</v>
      </c>
      <c r="E245" s="26" t="s">
        <v>1292</v>
      </c>
      <c r="F245" s="26" t="s">
        <v>1293</v>
      </c>
      <c r="G245" s="26" t="s">
        <v>1294</v>
      </c>
      <c r="H245" s="27" t="s">
        <v>161</v>
      </c>
    </row>
    <row r="246">
      <c r="A246" s="24">
        <v>241.0</v>
      </c>
      <c r="B246" s="25" t="s">
        <v>1268</v>
      </c>
      <c r="C246" s="26" t="s">
        <v>1295</v>
      </c>
      <c r="D246" s="26" t="s">
        <v>1296</v>
      </c>
      <c r="E246" s="26" t="s">
        <v>1297</v>
      </c>
      <c r="F246" s="26" t="s">
        <v>1298</v>
      </c>
      <c r="G246" s="26" t="s">
        <v>307</v>
      </c>
      <c r="H246" s="27" t="s">
        <v>173</v>
      </c>
    </row>
    <row r="247">
      <c r="A247" s="24">
        <v>242.0</v>
      </c>
      <c r="B247" s="25" t="s">
        <v>1268</v>
      </c>
      <c r="C247" s="26" t="s">
        <v>1299</v>
      </c>
      <c r="D247" s="26" t="s">
        <v>1300</v>
      </c>
      <c r="E247" s="26" t="s">
        <v>1301</v>
      </c>
      <c r="F247" s="26" t="s">
        <v>1302</v>
      </c>
      <c r="G247" s="26" t="s">
        <v>1303</v>
      </c>
      <c r="H247" s="27" t="s">
        <v>154</v>
      </c>
    </row>
    <row r="248">
      <c r="A248" s="24">
        <v>243.0</v>
      </c>
      <c r="B248" s="25" t="s">
        <v>1268</v>
      </c>
      <c r="C248" s="26" t="s">
        <v>1304</v>
      </c>
      <c r="D248" s="26" t="s">
        <v>1305</v>
      </c>
      <c r="E248" s="26" t="s">
        <v>1306</v>
      </c>
      <c r="F248" s="26" t="s">
        <v>1308</v>
      </c>
      <c r="G248" s="26" t="s">
        <v>1309</v>
      </c>
      <c r="H248" s="27" t="s">
        <v>148</v>
      </c>
    </row>
    <row r="249">
      <c r="A249" s="24">
        <v>244.0</v>
      </c>
      <c r="B249" s="25" t="s">
        <v>1268</v>
      </c>
      <c r="C249" s="26" t="s">
        <v>1311</v>
      </c>
      <c r="D249" s="26" t="s">
        <v>1312</v>
      </c>
      <c r="E249" s="26" t="s">
        <v>1313</v>
      </c>
      <c r="F249" s="26" t="s">
        <v>1314</v>
      </c>
      <c r="G249" s="26" t="s">
        <v>1316</v>
      </c>
      <c r="H249" s="27" t="s">
        <v>161</v>
      </c>
    </row>
    <row r="250">
      <c r="A250" s="24">
        <v>245.0</v>
      </c>
      <c r="B250" s="25" t="s">
        <v>1268</v>
      </c>
      <c r="C250" s="26" t="s">
        <v>1317</v>
      </c>
      <c r="D250" s="26" t="s">
        <v>1318</v>
      </c>
      <c r="E250" s="26" t="s">
        <v>1319</v>
      </c>
      <c r="F250" s="26" t="s">
        <v>1320</v>
      </c>
      <c r="G250" s="26" t="s">
        <v>1321</v>
      </c>
      <c r="H250" s="27" t="s">
        <v>161</v>
      </c>
    </row>
    <row r="251">
      <c r="A251" s="24">
        <v>246.0</v>
      </c>
      <c r="B251" s="25" t="s">
        <v>1268</v>
      </c>
      <c r="C251" s="26" t="s">
        <v>1322</v>
      </c>
      <c r="D251" s="26" t="s">
        <v>1323</v>
      </c>
      <c r="E251" s="26" t="s">
        <v>1324</v>
      </c>
      <c r="F251" s="26" t="s">
        <v>1325</v>
      </c>
      <c r="G251" s="26" t="s">
        <v>1326</v>
      </c>
      <c r="H251" s="27" t="s">
        <v>161</v>
      </c>
    </row>
    <row r="252">
      <c r="A252" s="24">
        <v>247.0</v>
      </c>
      <c r="B252" s="25" t="s">
        <v>1268</v>
      </c>
      <c r="C252" s="26" t="s">
        <v>1327</v>
      </c>
      <c r="D252" s="26" t="s">
        <v>1328</v>
      </c>
      <c r="E252" s="26" t="s">
        <v>1329</v>
      </c>
      <c r="F252" s="26" t="s">
        <v>1330</v>
      </c>
      <c r="G252" s="26" t="s">
        <v>1331</v>
      </c>
      <c r="H252" s="27" t="s">
        <v>161</v>
      </c>
    </row>
    <row r="253">
      <c r="A253" s="24">
        <v>248.0</v>
      </c>
      <c r="B253" s="25" t="s">
        <v>1268</v>
      </c>
      <c r="C253" s="26" t="s">
        <v>1332</v>
      </c>
      <c r="D253" s="26" t="s">
        <v>1333</v>
      </c>
      <c r="E253" s="26" t="s">
        <v>1334</v>
      </c>
      <c r="F253" s="26" t="s">
        <v>1335</v>
      </c>
      <c r="G253" s="26" t="s">
        <v>1336</v>
      </c>
      <c r="H253" s="27" t="s">
        <v>173</v>
      </c>
    </row>
    <row r="254">
      <c r="A254" s="24">
        <v>249.0</v>
      </c>
      <c r="B254" s="25" t="s">
        <v>1268</v>
      </c>
      <c r="C254" s="26" t="s">
        <v>1337</v>
      </c>
      <c r="D254" s="26" t="s">
        <v>1338</v>
      </c>
      <c r="E254" s="26" t="s">
        <v>1339</v>
      </c>
      <c r="F254" s="26" t="s">
        <v>1341</v>
      </c>
      <c r="G254" s="26" t="s">
        <v>1342</v>
      </c>
      <c r="H254" s="27" t="s">
        <v>148</v>
      </c>
    </row>
    <row r="255">
      <c r="A255" s="24">
        <v>250.0</v>
      </c>
      <c r="B255" s="25" t="s">
        <v>1268</v>
      </c>
      <c r="C255" s="26" t="s">
        <v>1344</v>
      </c>
      <c r="D255" s="26" t="s">
        <v>1345</v>
      </c>
      <c r="E255" s="26" t="s">
        <v>1346</v>
      </c>
      <c r="F255" s="26" t="s">
        <v>1347</v>
      </c>
      <c r="G255" s="26" t="s">
        <v>1348</v>
      </c>
      <c r="H255" s="27" t="s">
        <v>173</v>
      </c>
    </row>
    <row r="256">
      <c r="A256" s="24">
        <v>251.0</v>
      </c>
      <c r="B256" s="25" t="s">
        <v>1268</v>
      </c>
      <c r="C256" s="26" t="s">
        <v>1349</v>
      </c>
      <c r="D256" s="26" t="s">
        <v>1350</v>
      </c>
      <c r="E256" s="26" t="s">
        <v>1351</v>
      </c>
      <c r="F256" s="26" t="s">
        <v>1352</v>
      </c>
      <c r="G256" s="26" t="s">
        <v>1353</v>
      </c>
      <c r="H256" s="27" t="s">
        <v>148</v>
      </c>
    </row>
    <row r="257">
      <c r="A257" s="24">
        <v>252.0</v>
      </c>
      <c r="B257" s="25" t="s">
        <v>1268</v>
      </c>
      <c r="C257" s="26" t="s">
        <v>1354</v>
      </c>
      <c r="D257" s="26" t="s">
        <v>1355</v>
      </c>
      <c r="E257" s="26" t="s">
        <v>1356</v>
      </c>
      <c r="F257" s="26" t="s">
        <v>1357</v>
      </c>
      <c r="G257" s="26" t="s">
        <v>1358</v>
      </c>
      <c r="H257" s="27" t="s">
        <v>161</v>
      </c>
    </row>
    <row r="258">
      <c r="A258" s="24">
        <v>253.0</v>
      </c>
      <c r="B258" s="25" t="s">
        <v>1268</v>
      </c>
      <c r="C258" s="26" t="s">
        <v>1359</v>
      </c>
      <c r="D258" s="26" t="s">
        <v>1361</v>
      </c>
      <c r="E258" s="26" t="s">
        <v>1362</v>
      </c>
      <c r="F258" s="26" t="s">
        <v>1363</v>
      </c>
      <c r="G258" s="26" t="s">
        <v>1364</v>
      </c>
      <c r="H258" s="27" t="s">
        <v>148</v>
      </c>
    </row>
    <row r="259">
      <c r="A259" s="24">
        <v>254.0</v>
      </c>
      <c r="B259" s="25" t="s">
        <v>1268</v>
      </c>
      <c r="C259" s="26" t="s">
        <v>1366</v>
      </c>
      <c r="D259" s="26" t="s">
        <v>1367</v>
      </c>
      <c r="E259" s="26" t="s">
        <v>1368</v>
      </c>
      <c r="F259" s="26" t="s">
        <v>1369</v>
      </c>
      <c r="G259" s="26" t="s">
        <v>1370</v>
      </c>
      <c r="H259" s="27" t="s">
        <v>173</v>
      </c>
    </row>
    <row r="260">
      <c r="A260" s="24">
        <v>255.0</v>
      </c>
      <c r="B260" s="25" t="s">
        <v>1268</v>
      </c>
      <c r="C260" s="26" t="s">
        <v>1371</v>
      </c>
      <c r="D260" s="26" t="s">
        <v>1373</v>
      </c>
      <c r="E260" s="26" t="s">
        <v>1374</v>
      </c>
      <c r="F260" s="26" t="s">
        <v>1375</v>
      </c>
      <c r="G260" s="26" t="s">
        <v>1376</v>
      </c>
      <c r="H260" s="27" t="s">
        <v>148</v>
      </c>
    </row>
    <row r="261">
      <c r="A261" s="24">
        <v>256.0</v>
      </c>
      <c r="B261" s="25" t="s">
        <v>1268</v>
      </c>
      <c r="C261" s="26" t="s">
        <v>1377</v>
      </c>
      <c r="D261" s="26" t="s">
        <v>1378</v>
      </c>
      <c r="E261" s="26" t="s">
        <v>1379</v>
      </c>
      <c r="F261" s="26" t="s">
        <v>1380</v>
      </c>
      <c r="G261" s="26" t="s">
        <v>1381</v>
      </c>
      <c r="H261" s="27" t="s">
        <v>161</v>
      </c>
    </row>
    <row r="262">
      <c r="A262" s="24">
        <v>257.0</v>
      </c>
      <c r="B262" s="25" t="s">
        <v>1268</v>
      </c>
      <c r="C262" s="26" t="s">
        <v>1382</v>
      </c>
      <c r="D262" s="26" t="s">
        <v>1384</v>
      </c>
      <c r="E262" s="26" t="s">
        <v>1385</v>
      </c>
      <c r="F262" s="26" t="s">
        <v>1386</v>
      </c>
      <c r="G262" s="26" t="s">
        <v>307</v>
      </c>
      <c r="H262" s="27" t="s">
        <v>148</v>
      </c>
    </row>
    <row r="263">
      <c r="A263" s="24">
        <v>258.0</v>
      </c>
      <c r="B263" s="25" t="s">
        <v>1268</v>
      </c>
      <c r="C263" s="26" t="s">
        <v>1387</v>
      </c>
      <c r="D263" s="26" t="s">
        <v>1388</v>
      </c>
      <c r="E263" s="26" t="s">
        <v>1389</v>
      </c>
      <c r="F263" s="26" t="s">
        <v>1390</v>
      </c>
      <c r="G263" s="26" t="s">
        <v>1391</v>
      </c>
      <c r="H263" s="27" t="s">
        <v>148</v>
      </c>
    </row>
    <row r="264">
      <c r="A264" s="24">
        <v>259.0</v>
      </c>
      <c r="B264" s="25" t="s">
        <v>1268</v>
      </c>
      <c r="C264" s="26" t="s">
        <v>1393</v>
      </c>
      <c r="D264" s="26">
        <v>16.0</v>
      </c>
      <c r="E264" s="26">
        <v>11.0</v>
      </c>
      <c r="F264" s="26">
        <v>12.0</v>
      </c>
      <c r="G264" s="26">
        <v>14.0</v>
      </c>
      <c r="H264" s="27" t="s">
        <v>148</v>
      </c>
    </row>
    <row r="265">
      <c r="A265" s="24">
        <v>260.0</v>
      </c>
      <c r="B265" s="25" t="s">
        <v>1268</v>
      </c>
      <c r="C265" s="26" t="s">
        <v>1394</v>
      </c>
      <c r="D265" s="26" t="s">
        <v>1388</v>
      </c>
      <c r="E265" s="26" t="s">
        <v>1390</v>
      </c>
      <c r="F265" s="26" t="s">
        <v>1389</v>
      </c>
      <c r="G265" s="26" t="s">
        <v>1391</v>
      </c>
      <c r="H265" s="27" t="s">
        <v>148</v>
      </c>
    </row>
    <row r="266">
      <c r="A266" s="21" t="s">
        <v>1396</v>
      </c>
      <c r="B266" s="22"/>
      <c r="C266" s="22"/>
      <c r="D266" s="22"/>
      <c r="E266" s="22"/>
      <c r="F266" s="22"/>
      <c r="G266" s="22"/>
      <c r="H266" s="23"/>
    </row>
    <row r="267">
      <c r="A267" s="24">
        <v>261.0</v>
      </c>
      <c r="B267" s="25" t="s">
        <v>1398</v>
      </c>
      <c r="C267" s="26" t="s">
        <v>1400</v>
      </c>
      <c r="D267" s="26" t="s">
        <v>619</v>
      </c>
      <c r="E267" s="26" t="s">
        <v>1401</v>
      </c>
      <c r="F267" s="26" t="s">
        <v>1402</v>
      </c>
      <c r="G267" s="26" t="s">
        <v>1403</v>
      </c>
      <c r="H267" s="27" t="s">
        <v>161</v>
      </c>
    </row>
    <row r="268">
      <c r="A268" s="24">
        <v>262.0</v>
      </c>
      <c r="B268" s="25" t="s">
        <v>1398</v>
      </c>
      <c r="C268" s="26" t="s">
        <v>1405</v>
      </c>
      <c r="D268" s="26" t="s">
        <v>1406</v>
      </c>
      <c r="E268" s="26" t="s">
        <v>1408</v>
      </c>
      <c r="F268" s="26" t="s">
        <v>1409</v>
      </c>
      <c r="G268" s="26" t="s">
        <v>1410</v>
      </c>
      <c r="H268" s="27" t="s">
        <v>173</v>
      </c>
    </row>
    <row r="269">
      <c r="A269" s="24">
        <v>263.0</v>
      </c>
      <c r="B269" s="25" t="s">
        <v>1398</v>
      </c>
      <c r="C269" s="26" t="s">
        <v>1412</v>
      </c>
      <c r="D269" s="26" t="s">
        <v>994</v>
      </c>
      <c r="E269" s="26" t="s">
        <v>236</v>
      </c>
      <c r="F269" s="26" t="s">
        <v>1413</v>
      </c>
      <c r="G269" s="26" t="s">
        <v>237</v>
      </c>
      <c r="H269" s="27" t="s">
        <v>161</v>
      </c>
    </row>
    <row r="270">
      <c r="A270" s="24">
        <v>264.0</v>
      </c>
      <c r="B270" s="25" t="s">
        <v>1398</v>
      </c>
      <c r="C270" s="26" t="s">
        <v>1414</v>
      </c>
      <c r="D270" s="26" t="s">
        <v>1415</v>
      </c>
      <c r="E270" s="26" t="s">
        <v>1416</v>
      </c>
      <c r="F270" s="26" t="s">
        <v>1417</v>
      </c>
      <c r="G270" s="26" t="s">
        <v>1418</v>
      </c>
      <c r="H270" s="27" t="s">
        <v>161</v>
      </c>
    </row>
    <row r="271">
      <c r="A271" s="24">
        <v>265.0</v>
      </c>
      <c r="B271" s="25" t="s">
        <v>1398</v>
      </c>
      <c r="C271" s="26" t="s">
        <v>1419</v>
      </c>
      <c r="D271" s="26" t="s">
        <v>1420</v>
      </c>
      <c r="E271" s="26" t="s">
        <v>1421</v>
      </c>
      <c r="F271" s="26" t="s">
        <v>1422</v>
      </c>
      <c r="G271" s="26" t="s">
        <v>1423</v>
      </c>
      <c r="H271" s="27" t="s">
        <v>148</v>
      </c>
    </row>
    <row r="272">
      <c r="A272" s="24">
        <v>266.0</v>
      </c>
      <c r="B272" s="25" t="s">
        <v>1398</v>
      </c>
      <c r="C272" s="26" t="s">
        <v>1424</v>
      </c>
      <c r="D272" s="26" t="s">
        <v>1425</v>
      </c>
      <c r="E272" s="26" t="s">
        <v>1426</v>
      </c>
      <c r="F272" s="26" t="s">
        <v>1427</v>
      </c>
      <c r="G272" s="26" t="s">
        <v>1428</v>
      </c>
      <c r="H272" s="27" t="s">
        <v>173</v>
      </c>
    </row>
    <row r="273">
      <c r="A273" s="24">
        <v>267.0</v>
      </c>
      <c r="B273" s="25" t="s">
        <v>1398</v>
      </c>
      <c r="C273" s="26" t="s">
        <v>1429</v>
      </c>
      <c r="D273" s="26" t="s">
        <v>1430</v>
      </c>
      <c r="E273" s="26" t="s">
        <v>1431</v>
      </c>
      <c r="F273" s="26" t="s">
        <v>1433</v>
      </c>
      <c r="G273" s="26" t="s">
        <v>1434</v>
      </c>
      <c r="H273" s="27" t="s">
        <v>161</v>
      </c>
    </row>
    <row r="274">
      <c r="A274" s="24">
        <v>268.0</v>
      </c>
      <c r="B274" s="25" t="s">
        <v>1398</v>
      </c>
      <c r="C274" s="26" t="s">
        <v>1435</v>
      </c>
      <c r="D274" s="26" t="s">
        <v>1437</v>
      </c>
      <c r="E274" s="26" t="s">
        <v>1102</v>
      </c>
      <c r="F274" s="26" t="s">
        <v>1438</v>
      </c>
      <c r="G274" s="26" t="s">
        <v>1439</v>
      </c>
      <c r="H274" s="27" t="s">
        <v>148</v>
      </c>
    </row>
    <row r="275">
      <c r="A275" s="24">
        <v>269.0</v>
      </c>
      <c r="B275" s="25" t="s">
        <v>1398</v>
      </c>
      <c r="C275" s="26" t="s">
        <v>1441</v>
      </c>
      <c r="D275" s="26" t="s">
        <v>1442</v>
      </c>
      <c r="E275" s="26" t="s">
        <v>1443</v>
      </c>
      <c r="F275" s="26" t="s">
        <v>1444</v>
      </c>
      <c r="G275" s="26" t="s">
        <v>1445</v>
      </c>
      <c r="H275" s="27" t="s">
        <v>173</v>
      </c>
    </row>
    <row r="276">
      <c r="A276" s="24">
        <v>270.0</v>
      </c>
      <c r="B276" s="25" t="s">
        <v>1398</v>
      </c>
      <c r="C276" s="26" t="s">
        <v>1446</v>
      </c>
      <c r="D276" s="26" t="s">
        <v>288</v>
      </c>
      <c r="E276" s="26" t="s">
        <v>1447</v>
      </c>
      <c r="F276" s="26" t="s">
        <v>1105</v>
      </c>
      <c r="G276" s="26" t="s">
        <v>1449</v>
      </c>
      <c r="H276" s="27" t="s">
        <v>154</v>
      </c>
    </row>
    <row r="277">
      <c r="A277" s="24">
        <v>271.0</v>
      </c>
      <c r="B277" s="25" t="s">
        <v>1398</v>
      </c>
      <c r="C277" s="26" t="s">
        <v>1450</v>
      </c>
      <c r="D277" s="26" t="s">
        <v>1451</v>
      </c>
      <c r="E277" s="26" t="s">
        <v>1452</v>
      </c>
      <c r="F277" s="26" t="s">
        <v>1454</v>
      </c>
      <c r="G277" s="26" t="s">
        <v>1455</v>
      </c>
      <c r="H277" s="27" t="s">
        <v>161</v>
      </c>
    </row>
    <row r="278">
      <c r="A278" s="24">
        <v>272.0</v>
      </c>
      <c r="B278" s="25" t="s">
        <v>1398</v>
      </c>
      <c r="C278" s="26" t="s">
        <v>1456</v>
      </c>
      <c r="D278" s="26">
        <v>50.0</v>
      </c>
      <c r="E278" s="26">
        <v>100.0</v>
      </c>
      <c r="F278" s="26">
        <v>255.0</v>
      </c>
      <c r="G278" s="26">
        <v>512.0</v>
      </c>
      <c r="H278" s="27" t="s">
        <v>148</v>
      </c>
    </row>
    <row r="279">
      <c r="A279" s="24">
        <v>273.0</v>
      </c>
      <c r="B279" s="25" t="s">
        <v>1398</v>
      </c>
      <c r="C279" s="26" t="s">
        <v>1457</v>
      </c>
      <c r="D279" s="26" t="s">
        <v>1415</v>
      </c>
      <c r="E279" s="26" t="s">
        <v>1418</v>
      </c>
      <c r="F279" s="26" t="s">
        <v>1458</v>
      </c>
      <c r="G279" s="26" t="s">
        <v>1417</v>
      </c>
      <c r="H279" s="27" t="s">
        <v>154</v>
      </c>
    </row>
    <row r="280">
      <c r="A280" s="24">
        <v>274.0</v>
      </c>
      <c r="B280" s="25" t="s">
        <v>1398</v>
      </c>
      <c r="C280" s="26" t="s">
        <v>1460</v>
      </c>
      <c r="D280" s="26" t="s">
        <v>1461</v>
      </c>
      <c r="E280" s="26" t="s">
        <v>1462</v>
      </c>
      <c r="F280" s="26" t="s">
        <v>1464</v>
      </c>
      <c r="G280" s="26" t="s">
        <v>1465</v>
      </c>
      <c r="H280" s="27" t="s">
        <v>161</v>
      </c>
    </row>
    <row r="281">
      <c r="A281" s="24">
        <v>275.0</v>
      </c>
      <c r="B281" s="25" t="s">
        <v>1398</v>
      </c>
      <c r="C281" s="26" t="s">
        <v>1467</v>
      </c>
      <c r="D281" s="26" t="s">
        <v>1434</v>
      </c>
      <c r="E281" s="26" t="s">
        <v>1430</v>
      </c>
      <c r="F281" s="26" t="s">
        <v>1433</v>
      </c>
      <c r="G281" s="26" t="s">
        <v>1431</v>
      </c>
      <c r="H281" s="27" t="s">
        <v>161</v>
      </c>
    </row>
    <row r="282">
      <c r="A282" s="24">
        <v>276.0</v>
      </c>
      <c r="B282" s="25" t="s">
        <v>1398</v>
      </c>
      <c r="C282" s="26" t="s">
        <v>1468</v>
      </c>
      <c r="D282" s="26" t="s">
        <v>1469</v>
      </c>
      <c r="E282" s="26" t="s">
        <v>1470</v>
      </c>
      <c r="F282" s="26" t="s">
        <v>1471</v>
      </c>
      <c r="G282" s="26" t="s">
        <v>1472</v>
      </c>
      <c r="H282" s="27" t="s">
        <v>161</v>
      </c>
    </row>
    <row r="283">
      <c r="A283" s="24">
        <v>277.0</v>
      </c>
      <c r="B283" s="25" t="s">
        <v>1398</v>
      </c>
      <c r="C283" s="26" t="s">
        <v>1473</v>
      </c>
      <c r="D283" s="26" t="s">
        <v>1474</v>
      </c>
      <c r="E283" s="26" t="s">
        <v>1475</v>
      </c>
      <c r="F283" s="26" t="s">
        <v>147</v>
      </c>
      <c r="G283" s="26" t="s">
        <v>1476</v>
      </c>
      <c r="H283" s="27" t="s">
        <v>148</v>
      </c>
    </row>
    <row r="284">
      <c r="A284" s="24">
        <v>278.0</v>
      </c>
      <c r="B284" s="25" t="s">
        <v>1398</v>
      </c>
      <c r="C284" s="26" t="s">
        <v>1477</v>
      </c>
      <c r="D284" s="26" t="s">
        <v>1478</v>
      </c>
      <c r="E284" s="26" t="s">
        <v>1479</v>
      </c>
      <c r="F284" s="26" t="s">
        <v>1480</v>
      </c>
      <c r="G284" s="26" t="s">
        <v>1481</v>
      </c>
      <c r="H284" s="27" t="s">
        <v>148</v>
      </c>
    </row>
    <row r="285">
      <c r="A285" s="24">
        <v>279.0</v>
      </c>
      <c r="B285" s="25" t="s">
        <v>1398</v>
      </c>
      <c r="C285" s="26" t="s">
        <v>1482</v>
      </c>
      <c r="D285" s="26" t="s">
        <v>1483</v>
      </c>
      <c r="E285" s="26" t="s">
        <v>1421</v>
      </c>
      <c r="F285" s="26" t="s">
        <v>1484</v>
      </c>
      <c r="G285" s="26" t="s">
        <v>1485</v>
      </c>
      <c r="H285" s="27" t="s">
        <v>173</v>
      </c>
    </row>
    <row r="286">
      <c r="A286" s="24">
        <v>280.0</v>
      </c>
      <c r="B286" s="25" t="s">
        <v>1398</v>
      </c>
      <c r="C286" s="26" t="s">
        <v>1486</v>
      </c>
      <c r="D286" s="26" t="s">
        <v>1487</v>
      </c>
      <c r="E286" s="26" t="s">
        <v>1488</v>
      </c>
      <c r="F286" s="26" t="s">
        <v>1489</v>
      </c>
      <c r="G286" s="26" t="s">
        <v>1490</v>
      </c>
      <c r="H286" s="27" t="s">
        <v>148</v>
      </c>
    </row>
    <row r="287">
      <c r="A287" s="24">
        <v>281.0</v>
      </c>
      <c r="B287" s="25" t="s">
        <v>1398</v>
      </c>
      <c r="C287" s="26" t="s">
        <v>1491</v>
      </c>
      <c r="D287" s="26">
        <v>100.0</v>
      </c>
      <c r="E287" s="26">
        <v>255.0</v>
      </c>
      <c r="F287" s="26">
        <v>512.0</v>
      </c>
      <c r="G287" s="26">
        <v>1000.0</v>
      </c>
      <c r="H287" s="27" t="s">
        <v>161</v>
      </c>
    </row>
    <row r="288">
      <c r="A288" s="24">
        <v>282.0</v>
      </c>
      <c r="B288" s="25" t="s">
        <v>1398</v>
      </c>
      <c r="C288" s="26" t="s">
        <v>1492</v>
      </c>
      <c r="D288" s="26" t="s">
        <v>1493</v>
      </c>
      <c r="E288" s="26" t="s">
        <v>1494</v>
      </c>
      <c r="F288" s="26" t="s">
        <v>1495</v>
      </c>
      <c r="G288" s="26" t="s">
        <v>1496</v>
      </c>
      <c r="H288" s="27" t="s">
        <v>154</v>
      </c>
    </row>
    <row r="289">
      <c r="A289" s="24">
        <v>283.0</v>
      </c>
      <c r="B289" s="25" t="s">
        <v>1398</v>
      </c>
      <c r="C289" s="26" t="s">
        <v>1498</v>
      </c>
      <c r="D289" s="26" t="s">
        <v>1499</v>
      </c>
      <c r="E289" s="26" t="s">
        <v>1501</v>
      </c>
      <c r="F289" s="26" t="s">
        <v>1409</v>
      </c>
      <c r="G289" s="26" t="s">
        <v>1502</v>
      </c>
      <c r="H289" s="27" t="s">
        <v>173</v>
      </c>
    </row>
    <row r="290">
      <c r="A290" s="24">
        <v>284.0</v>
      </c>
      <c r="B290" s="25" t="s">
        <v>1398</v>
      </c>
      <c r="C290" s="26" t="s">
        <v>1503</v>
      </c>
      <c r="D290" s="26" t="s">
        <v>1504</v>
      </c>
      <c r="E290" s="26" t="s">
        <v>1505</v>
      </c>
      <c r="F290" s="26" t="s">
        <v>1488</v>
      </c>
      <c r="G290" s="26" t="s">
        <v>1490</v>
      </c>
      <c r="H290" s="27" t="s">
        <v>161</v>
      </c>
    </row>
    <row r="291">
      <c r="A291" s="24">
        <v>285.0</v>
      </c>
      <c r="B291" s="25" t="s">
        <v>1398</v>
      </c>
      <c r="C291" s="26" t="s">
        <v>1508</v>
      </c>
      <c r="D291" s="26" t="s">
        <v>1509</v>
      </c>
      <c r="E291" s="26" t="s">
        <v>1510</v>
      </c>
      <c r="F291" s="26" t="s">
        <v>1511</v>
      </c>
      <c r="G291" s="26" t="s">
        <v>1512</v>
      </c>
      <c r="H291" s="27" t="s">
        <v>161</v>
      </c>
    </row>
    <row r="292">
      <c r="A292" s="24">
        <v>286.0</v>
      </c>
      <c r="B292" s="25" t="s">
        <v>1398</v>
      </c>
      <c r="C292" s="26" t="s">
        <v>1513</v>
      </c>
      <c r="D292" s="26" t="s">
        <v>1514</v>
      </c>
      <c r="E292" s="26" t="s">
        <v>1515</v>
      </c>
      <c r="F292" s="26" t="s">
        <v>1516</v>
      </c>
      <c r="G292" s="26" t="s">
        <v>1518</v>
      </c>
      <c r="H292" s="27" t="s">
        <v>161</v>
      </c>
    </row>
    <row r="293">
      <c r="A293" s="24">
        <v>287.0</v>
      </c>
      <c r="B293" s="25" t="s">
        <v>1398</v>
      </c>
      <c r="C293" s="26" t="s">
        <v>1520</v>
      </c>
      <c r="D293" s="26" t="s">
        <v>1521</v>
      </c>
      <c r="E293" s="26" t="s">
        <v>785</v>
      </c>
      <c r="F293" s="26" t="s">
        <v>1522</v>
      </c>
      <c r="G293" s="26" t="s">
        <v>299</v>
      </c>
      <c r="H293" s="27" t="s">
        <v>154</v>
      </c>
    </row>
    <row r="294">
      <c r="A294" s="24">
        <v>288.0</v>
      </c>
      <c r="B294" s="25" t="s">
        <v>1398</v>
      </c>
      <c r="C294" s="26" t="s">
        <v>1523</v>
      </c>
      <c r="D294" s="26" t="s">
        <v>1524</v>
      </c>
      <c r="E294" s="26" t="s">
        <v>1525</v>
      </c>
      <c r="F294" s="26" t="s">
        <v>1526</v>
      </c>
      <c r="G294" s="26" t="s">
        <v>1527</v>
      </c>
      <c r="H294" s="27" t="s">
        <v>161</v>
      </c>
    </row>
    <row r="295">
      <c r="A295" s="24">
        <v>289.0</v>
      </c>
      <c r="B295" s="25" t="s">
        <v>1398</v>
      </c>
      <c r="C295" s="26" t="s">
        <v>1528</v>
      </c>
      <c r="D295" s="26" t="s">
        <v>1529</v>
      </c>
      <c r="E295" s="26" t="s">
        <v>1530</v>
      </c>
      <c r="F295" s="26" t="s">
        <v>1531</v>
      </c>
      <c r="G295" s="26" t="s">
        <v>1532</v>
      </c>
      <c r="H295" s="27" t="s">
        <v>161</v>
      </c>
    </row>
    <row r="296">
      <c r="A296" s="24">
        <v>290.0</v>
      </c>
      <c r="B296" s="25" t="s">
        <v>1398</v>
      </c>
      <c r="C296" s="26" t="s">
        <v>1534</v>
      </c>
      <c r="D296" s="26" t="s">
        <v>1535</v>
      </c>
      <c r="E296" s="26" t="s">
        <v>1536</v>
      </c>
      <c r="F296" s="26" t="s">
        <v>1537</v>
      </c>
      <c r="G296" s="26" t="s">
        <v>1538</v>
      </c>
      <c r="H296" s="27" t="s">
        <v>173</v>
      </c>
    </row>
    <row r="297">
      <c r="A297" s="24">
        <v>291.0</v>
      </c>
      <c r="B297" s="25" t="s">
        <v>1398</v>
      </c>
      <c r="C297" s="26" t="s">
        <v>1539</v>
      </c>
      <c r="D297" s="26" t="s">
        <v>1540</v>
      </c>
      <c r="E297" s="26" t="s">
        <v>1541</v>
      </c>
      <c r="F297" s="26" t="s">
        <v>1542</v>
      </c>
      <c r="G297" s="26" t="s">
        <v>1543</v>
      </c>
      <c r="H297" s="27" t="s">
        <v>161</v>
      </c>
    </row>
    <row r="298">
      <c r="A298" s="24">
        <v>292.0</v>
      </c>
      <c r="B298" s="25" t="s">
        <v>1398</v>
      </c>
      <c r="C298" s="26" t="s">
        <v>1544</v>
      </c>
      <c r="D298" s="26" t="s">
        <v>1545</v>
      </c>
      <c r="E298" s="26" t="s">
        <v>1546</v>
      </c>
      <c r="F298" s="26" t="s">
        <v>1547</v>
      </c>
      <c r="G298" s="26" t="s">
        <v>1548</v>
      </c>
      <c r="H298" s="27" t="s">
        <v>161</v>
      </c>
    </row>
    <row r="299">
      <c r="A299" s="24">
        <v>293.0</v>
      </c>
      <c r="B299" s="25" t="s">
        <v>1398</v>
      </c>
      <c r="C299" s="26" t="s">
        <v>1549</v>
      </c>
      <c r="D299" s="26" t="s">
        <v>1550</v>
      </c>
      <c r="E299" s="26" t="s">
        <v>1551</v>
      </c>
      <c r="F299" s="26" t="s">
        <v>438</v>
      </c>
      <c r="G299" s="26" t="s">
        <v>1552</v>
      </c>
      <c r="H299" s="27" t="s">
        <v>161</v>
      </c>
    </row>
    <row r="300">
      <c r="A300" s="24">
        <v>294.0</v>
      </c>
      <c r="B300" s="25" t="s">
        <v>1398</v>
      </c>
      <c r="C300" s="26" t="s">
        <v>1553</v>
      </c>
      <c r="D300" s="26" t="s">
        <v>1554</v>
      </c>
      <c r="E300" s="26" t="s">
        <v>1555</v>
      </c>
      <c r="F300" s="26" t="s">
        <v>1556</v>
      </c>
      <c r="G300" s="26" t="s">
        <v>1557</v>
      </c>
      <c r="H300" s="27" t="s">
        <v>161</v>
      </c>
    </row>
    <row r="301">
      <c r="A301" s="24">
        <v>295.0</v>
      </c>
      <c r="B301" s="25" t="s">
        <v>1398</v>
      </c>
      <c r="C301" s="26" t="s">
        <v>1558</v>
      </c>
      <c r="D301" s="26" t="s">
        <v>1559</v>
      </c>
      <c r="E301" s="26" t="s">
        <v>1560</v>
      </c>
      <c r="F301" s="26" t="s">
        <v>1561</v>
      </c>
      <c r="G301" s="26" t="s">
        <v>1562</v>
      </c>
      <c r="H301" s="27" t="s">
        <v>161</v>
      </c>
    </row>
    <row r="302">
      <c r="A302" s="24">
        <v>296.0</v>
      </c>
      <c r="B302" s="25" t="s">
        <v>1398</v>
      </c>
      <c r="C302" s="26" t="s">
        <v>1564</v>
      </c>
      <c r="D302" s="26" t="s">
        <v>1565</v>
      </c>
      <c r="E302" s="26" t="s">
        <v>1566</v>
      </c>
      <c r="F302" s="26" t="s">
        <v>1567</v>
      </c>
      <c r="G302" s="26" t="s">
        <v>1568</v>
      </c>
      <c r="H302" s="27" t="s">
        <v>148</v>
      </c>
    </row>
    <row r="303">
      <c r="A303" s="24">
        <v>297.0</v>
      </c>
      <c r="B303" s="25" t="s">
        <v>1398</v>
      </c>
      <c r="C303" s="26" t="s">
        <v>1569</v>
      </c>
      <c r="D303" s="26" t="s">
        <v>1570</v>
      </c>
      <c r="E303" s="26" t="s">
        <v>1571</v>
      </c>
      <c r="F303" s="26" t="s">
        <v>1572</v>
      </c>
      <c r="G303" s="26" t="s">
        <v>1573</v>
      </c>
      <c r="H303" s="27" t="s">
        <v>173</v>
      </c>
    </row>
    <row r="304">
      <c r="A304" s="24">
        <v>298.0</v>
      </c>
      <c r="B304" s="25" t="s">
        <v>1398</v>
      </c>
      <c r="C304" s="26" t="s">
        <v>1574</v>
      </c>
      <c r="D304" s="26" t="s">
        <v>1516</v>
      </c>
      <c r="E304" s="26" t="s">
        <v>1515</v>
      </c>
      <c r="F304" s="26" t="s">
        <v>1514</v>
      </c>
      <c r="G304" s="33" t="s">
        <v>1575</v>
      </c>
      <c r="H304" s="27" t="s">
        <v>148</v>
      </c>
    </row>
    <row r="305">
      <c r="A305" s="24">
        <v>299.0</v>
      </c>
      <c r="B305" s="25" t="s">
        <v>1398</v>
      </c>
      <c r="C305" s="26" t="s">
        <v>1576</v>
      </c>
      <c r="D305" s="26" t="s">
        <v>471</v>
      </c>
      <c r="E305" s="26" t="s">
        <v>1577</v>
      </c>
      <c r="F305" s="26" t="s">
        <v>1578</v>
      </c>
      <c r="G305" s="26" t="s">
        <v>1579</v>
      </c>
      <c r="H305" s="27" t="s">
        <v>173</v>
      </c>
    </row>
    <row r="306">
      <c r="A306" s="24">
        <v>300.0</v>
      </c>
      <c r="B306" s="25" t="s">
        <v>1398</v>
      </c>
      <c r="C306" s="26" t="s">
        <v>1580</v>
      </c>
      <c r="D306" s="26" t="s">
        <v>1581</v>
      </c>
      <c r="E306" s="26" t="s">
        <v>1582</v>
      </c>
      <c r="F306" s="26" t="s">
        <v>1583</v>
      </c>
      <c r="G306" s="26" t="s">
        <v>1584</v>
      </c>
      <c r="H306" s="27" t="s">
        <v>148</v>
      </c>
    </row>
    <row r="307">
      <c r="A307" s="24">
        <v>301.0</v>
      </c>
      <c r="B307" s="25" t="s">
        <v>1398</v>
      </c>
      <c r="C307" s="26" t="s">
        <v>1585</v>
      </c>
      <c r="D307" s="26" t="s">
        <v>1586</v>
      </c>
      <c r="E307" s="26" t="s">
        <v>1572</v>
      </c>
      <c r="F307" s="26" t="s">
        <v>1587</v>
      </c>
      <c r="G307" s="26" t="s">
        <v>1571</v>
      </c>
      <c r="H307" s="27" t="s">
        <v>161</v>
      </c>
    </row>
    <row r="308">
      <c r="A308" s="24">
        <v>302.0</v>
      </c>
      <c r="B308" s="25" t="s">
        <v>1398</v>
      </c>
      <c r="C308" s="26" t="s">
        <v>1588</v>
      </c>
      <c r="D308" s="26" t="s">
        <v>1589</v>
      </c>
      <c r="E308" s="26" t="s">
        <v>1590</v>
      </c>
      <c r="F308" s="26" t="s">
        <v>1591</v>
      </c>
      <c r="G308" s="26" t="s">
        <v>299</v>
      </c>
      <c r="H308" s="27" t="s">
        <v>154</v>
      </c>
    </row>
    <row r="309">
      <c r="A309" s="24">
        <v>303.0</v>
      </c>
      <c r="B309" s="25" t="s">
        <v>1398</v>
      </c>
      <c r="C309" s="26" t="s">
        <v>1592</v>
      </c>
      <c r="D309" s="26" t="s">
        <v>1593</v>
      </c>
      <c r="E309" s="26" t="s">
        <v>1594</v>
      </c>
      <c r="F309" s="26" t="s">
        <v>1595</v>
      </c>
      <c r="G309" s="26" t="s">
        <v>1596</v>
      </c>
      <c r="H309" s="27" t="s">
        <v>161</v>
      </c>
    </row>
    <row r="310">
      <c r="A310" s="24">
        <v>304.0</v>
      </c>
      <c r="B310" s="25" t="s">
        <v>1398</v>
      </c>
      <c r="C310" s="26" t="s">
        <v>1598</v>
      </c>
      <c r="D310" s="26" t="s">
        <v>1599</v>
      </c>
      <c r="E310" s="26" t="s">
        <v>1600</v>
      </c>
      <c r="F310" s="26" t="s">
        <v>1601</v>
      </c>
      <c r="G310" s="26" t="s">
        <v>1602</v>
      </c>
      <c r="H310" s="27" t="s">
        <v>148</v>
      </c>
    </row>
    <row r="311">
      <c r="A311" s="24">
        <v>305.0</v>
      </c>
      <c r="B311" s="25" t="s">
        <v>1398</v>
      </c>
      <c r="C311" s="26" t="s">
        <v>1603</v>
      </c>
      <c r="D311" s="26" t="s">
        <v>1413</v>
      </c>
      <c r="E311" s="26" t="s">
        <v>991</v>
      </c>
      <c r="F311" s="26" t="s">
        <v>1604</v>
      </c>
      <c r="G311" s="26" t="s">
        <v>1605</v>
      </c>
      <c r="H311" s="27" t="s">
        <v>148</v>
      </c>
    </row>
    <row r="312">
      <c r="A312" s="24">
        <v>306.0</v>
      </c>
      <c r="B312" s="25" t="s">
        <v>1398</v>
      </c>
      <c r="C312" s="26" t="s">
        <v>1606</v>
      </c>
      <c r="D312" s="26" t="s">
        <v>1607</v>
      </c>
      <c r="E312" s="26" t="s">
        <v>1608</v>
      </c>
      <c r="F312" s="26" t="s">
        <v>1609</v>
      </c>
      <c r="G312" s="26" t="s">
        <v>1610</v>
      </c>
      <c r="H312" s="27" t="s">
        <v>161</v>
      </c>
    </row>
    <row r="313">
      <c r="A313" s="24">
        <v>307.0</v>
      </c>
      <c r="B313" s="25" t="s">
        <v>1398</v>
      </c>
      <c r="C313" s="26" t="s">
        <v>1611</v>
      </c>
      <c r="D313" s="26" t="s">
        <v>1612</v>
      </c>
      <c r="E313" s="26" t="s">
        <v>1613</v>
      </c>
      <c r="F313" s="26" t="s">
        <v>1614</v>
      </c>
      <c r="G313" s="26" t="s">
        <v>1615</v>
      </c>
      <c r="H313" s="27" t="s">
        <v>154</v>
      </c>
    </row>
    <row r="314">
      <c r="A314" s="24">
        <v>308.0</v>
      </c>
      <c r="B314" s="25" t="s">
        <v>1398</v>
      </c>
      <c r="C314" s="26" t="s">
        <v>1616</v>
      </c>
      <c r="D314" s="26" t="s">
        <v>1612</v>
      </c>
      <c r="E314" s="26" t="s">
        <v>1613</v>
      </c>
      <c r="F314" s="26" t="s">
        <v>1617</v>
      </c>
      <c r="G314" s="26" t="s">
        <v>1618</v>
      </c>
      <c r="H314" s="27" t="s">
        <v>148</v>
      </c>
    </row>
    <row r="315">
      <c r="A315" s="24">
        <v>309.0</v>
      </c>
      <c r="B315" s="25" t="s">
        <v>1398</v>
      </c>
      <c r="C315" s="26" t="s">
        <v>1619</v>
      </c>
      <c r="D315" s="26" t="s">
        <v>1620</v>
      </c>
      <c r="E315" s="26" t="s">
        <v>1621</v>
      </c>
      <c r="F315" s="26" t="s">
        <v>1622</v>
      </c>
      <c r="G315" s="26" t="s">
        <v>1623</v>
      </c>
      <c r="H315" s="27" t="s">
        <v>173</v>
      </c>
    </row>
    <row r="316">
      <c r="A316" s="24">
        <v>310.0</v>
      </c>
      <c r="B316" s="25" t="s">
        <v>1398</v>
      </c>
      <c r="C316" s="26" t="s">
        <v>1624</v>
      </c>
      <c r="D316" s="26" t="s">
        <v>785</v>
      </c>
      <c r="E316" s="26" t="s">
        <v>1521</v>
      </c>
      <c r="F316" s="26" t="s">
        <v>770</v>
      </c>
      <c r="G316" s="26" t="s">
        <v>1626</v>
      </c>
      <c r="H316" s="27" t="s">
        <v>148</v>
      </c>
    </row>
    <row r="317">
      <c r="A317" s="24">
        <v>311.0</v>
      </c>
      <c r="B317" s="25" t="s">
        <v>1398</v>
      </c>
      <c r="C317" s="26" t="s">
        <v>1627</v>
      </c>
      <c r="D317" s="26" t="s">
        <v>1628</v>
      </c>
      <c r="E317" s="26" t="s">
        <v>1629</v>
      </c>
      <c r="F317" s="26" t="s">
        <v>1630</v>
      </c>
      <c r="G317" s="26" t="s">
        <v>307</v>
      </c>
      <c r="H317" s="27" t="s">
        <v>161</v>
      </c>
    </row>
    <row r="318">
      <c r="A318" s="24">
        <v>312.0</v>
      </c>
      <c r="B318" s="25" t="s">
        <v>1398</v>
      </c>
      <c r="C318" s="26" t="s">
        <v>1631</v>
      </c>
      <c r="D318" s="26" t="s">
        <v>1632</v>
      </c>
      <c r="E318" s="26" t="s">
        <v>1633</v>
      </c>
      <c r="F318" s="26" t="s">
        <v>1634</v>
      </c>
      <c r="G318" s="26" t="s">
        <v>1635</v>
      </c>
      <c r="H318" s="27" t="s">
        <v>173</v>
      </c>
    </row>
    <row r="319">
      <c r="A319" s="24">
        <v>313.0</v>
      </c>
      <c r="B319" s="25" t="s">
        <v>1398</v>
      </c>
      <c r="C319" s="26" t="s">
        <v>1636</v>
      </c>
      <c r="D319" s="26" t="s">
        <v>1434</v>
      </c>
      <c r="E319" s="26" t="s">
        <v>1637</v>
      </c>
      <c r="F319" s="26" t="s">
        <v>1431</v>
      </c>
      <c r="G319" s="26" t="s">
        <v>1430</v>
      </c>
      <c r="H319" s="27" t="s">
        <v>161</v>
      </c>
    </row>
    <row r="320">
      <c r="A320" s="24">
        <v>314.0</v>
      </c>
      <c r="B320" s="25" t="s">
        <v>1398</v>
      </c>
      <c r="C320" s="26" t="s">
        <v>1639</v>
      </c>
      <c r="D320" s="26" t="s">
        <v>1640</v>
      </c>
      <c r="E320" s="26" t="s">
        <v>1641</v>
      </c>
      <c r="F320" s="26" t="s">
        <v>1642</v>
      </c>
      <c r="G320" s="26" t="s">
        <v>1643</v>
      </c>
      <c r="H320" s="27" t="s">
        <v>173</v>
      </c>
    </row>
    <row r="321">
      <c r="A321" s="24">
        <v>315.0</v>
      </c>
      <c r="B321" s="25" t="s">
        <v>1398</v>
      </c>
      <c r="C321" s="26" t="s">
        <v>1645</v>
      </c>
      <c r="D321" s="26" t="s">
        <v>1646</v>
      </c>
      <c r="E321" s="26" t="s">
        <v>1647</v>
      </c>
      <c r="F321" s="26" t="s">
        <v>1648</v>
      </c>
      <c r="G321" s="26" t="s">
        <v>307</v>
      </c>
      <c r="H321" s="27" t="s">
        <v>148</v>
      </c>
    </row>
    <row r="322">
      <c r="A322" s="24">
        <v>316.0</v>
      </c>
      <c r="B322" s="25" t="s">
        <v>1398</v>
      </c>
      <c r="C322" s="26" t="s">
        <v>1649</v>
      </c>
      <c r="D322" s="26" t="s">
        <v>1434</v>
      </c>
      <c r="E322" s="26" t="s">
        <v>1637</v>
      </c>
      <c r="F322" s="26" t="s">
        <v>1431</v>
      </c>
      <c r="G322" s="26" t="s">
        <v>1430</v>
      </c>
      <c r="H322" s="27" t="s">
        <v>148</v>
      </c>
    </row>
    <row r="323">
      <c r="A323" s="24">
        <v>317.0</v>
      </c>
      <c r="B323" s="25" t="s">
        <v>1398</v>
      </c>
      <c r="C323" s="26" t="s">
        <v>1650</v>
      </c>
      <c r="D323" s="26" t="s">
        <v>1651</v>
      </c>
      <c r="E323" s="26" t="s">
        <v>1652</v>
      </c>
      <c r="F323" s="26" t="s">
        <v>1653</v>
      </c>
      <c r="G323" s="26" t="s">
        <v>307</v>
      </c>
      <c r="H323" s="27" t="s">
        <v>161</v>
      </c>
    </row>
    <row r="324">
      <c r="A324" s="24">
        <v>318.0</v>
      </c>
      <c r="B324" s="25" t="s">
        <v>1398</v>
      </c>
      <c r="C324" s="26" t="s">
        <v>1654</v>
      </c>
      <c r="D324" s="26" t="s">
        <v>1655</v>
      </c>
      <c r="E324" s="26" t="s">
        <v>1656</v>
      </c>
      <c r="F324" s="26" t="s">
        <v>1657</v>
      </c>
      <c r="G324" s="26" t="s">
        <v>1658</v>
      </c>
      <c r="H324" s="27" t="s">
        <v>148</v>
      </c>
    </row>
    <row r="325">
      <c r="A325" s="24">
        <v>319.0</v>
      </c>
      <c r="B325" s="25" t="s">
        <v>1398</v>
      </c>
      <c r="C325" s="26" t="s">
        <v>1659</v>
      </c>
      <c r="D325" s="26" t="s">
        <v>1660</v>
      </c>
      <c r="E325" s="26" t="s">
        <v>1661</v>
      </c>
      <c r="F325" s="26" t="s">
        <v>1662</v>
      </c>
      <c r="G325" s="26" t="s">
        <v>299</v>
      </c>
      <c r="H325" s="27" t="s">
        <v>154</v>
      </c>
    </row>
    <row r="326">
      <c r="A326" s="24">
        <v>320.0</v>
      </c>
      <c r="B326" s="25" t="s">
        <v>1398</v>
      </c>
      <c r="C326" s="26" t="s">
        <v>1663</v>
      </c>
      <c r="D326" s="26" t="s">
        <v>1664</v>
      </c>
      <c r="E326" s="26" t="s">
        <v>722</v>
      </c>
      <c r="F326" s="26" t="s">
        <v>1665</v>
      </c>
      <c r="G326" s="26" t="s">
        <v>1666</v>
      </c>
      <c r="H326" s="27" t="s">
        <v>173</v>
      </c>
    </row>
    <row r="327">
      <c r="A327" s="24">
        <v>321.0</v>
      </c>
      <c r="B327" s="25" t="s">
        <v>1398</v>
      </c>
      <c r="C327" s="26" t="s">
        <v>1667</v>
      </c>
      <c r="D327" s="26" t="s">
        <v>1668</v>
      </c>
      <c r="E327" s="26" t="s">
        <v>1669</v>
      </c>
      <c r="F327" s="26" t="s">
        <v>1670</v>
      </c>
      <c r="G327" s="26" t="s">
        <v>1671</v>
      </c>
      <c r="H327" s="27" t="s">
        <v>148</v>
      </c>
    </row>
    <row r="328">
      <c r="A328" s="24">
        <v>322.0</v>
      </c>
      <c r="B328" s="25" t="s">
        <v>1398</v>
      </c>
      <c r="C328" s="26" t="s">
        <v>1672</v>
      </c>
      <c r="D328" s="26" t="s">
        <v>1487</v>
      </c>
      <c r="E328" s="26" t="s">
        <v>1489</v>
      </c>
      <c r="F328" s="26" t="s">
        <v>1490</v>
      </c>
      <c r="G328" s="26" t="s">
        <v>1504</v>
      </c>
      <c r="H328" s="27" t="s">
        <v>148</v>
      </c>
    </row>
    <row r="329">
      <c r="A329" s="24">
        <v>323.0</v>
      </c>
      <c r="B329" s="25" t="s">
        <v>1398</v>
      </c>
      <c r="C329" s="26" t="s">
        <v>1674</v>
      </c>
      <c r="D329" s="26" t="s">
        <v>1675</v>
      </c>
      <c r="E329" s="26" t="s">
        <v>1676</v>
      </c>
      <c r="F329" s="26" t="s">
        <v>1677</v>
      </c>
      <c r="G329" s="26" t="s">
        <v>1678</v>
      </c>
      <c r="H329" s="27" t="s">
        <v>161</v>
      </c>
    </row>
    <row r="330">
      <c r="A330" s="24">
        <v>324.0</v>
      </c>
      <c r="B330" s="25" t="s">
        <v>1398</v>
      </c>
      <c r="C330" s="26" t="s">
        <v>1679</v>
      </c>
      <c r="D330" s="26" t="s">
        <v>1541</v>
      </c>
      <c r="E330" s="26" t="s">
        <v>1680</v>
      </c>
      <c r="F330" s="26" t="s">
        <v>1681</v>
      </c>
      <c r="G330" s="26" t="s">
        <v>1682</v>
      </c>
      <c r="H330" s="27" t="s">
        <v>161</v>
      </c>
    </row>
    <row r="331">
      <c r="A331" s="24">
        <v>325.0</v>
      </c>
      <c r="B331" s="25" t="s">
        <v>1398</v>
      </c>
      <c r="C331" s="26" t="s">
        <v>1683</v>
      </c>
      <c r="D331" s="26" t="s">
        <v>1684</v>
      </c>
      <c r="E331" s="26" t="s">
        <v>1685</v>
      </c>
      <c r="F331" s="26" t="s">
        <v>1648</v>
      </c>
      <c r="G331" s="26" t="s">
        <v>307</v>
      </c>
      <c r="H331" s="27" t="s">
        <v>148</v>
      </c>
    </row>
    <row r="332">
      <c r="A332" s="24">
        <v>326.0</v>
      </c>
      <c r="B332" s="25" t="s">
        <v>1398</v>
      </c>
      <c r="C332" s="26" t="s">
        <v>1686</v>
      </c>
      <c r="D332" s="26" t="s">
        <v>1687</v>
      </c>
      <c r="E332" s="26" t="s">
        <v>1680</v>
      </c>
      <c r="F332" s="26" t="s">
        <v>1682</v>
      </c>
      <c r="G332" s="26" t="s">
        <v>1688</v>
      </c>
      <c r="H332" s="27" t="s">
        <v>173</v>
      </c>
    </row>
    <row r="333">
      <c r="A333" s="24">
        <v>327.0</v>
      </c>
      <c r="B333" s="25" t="s">
        <v>1398</v>
      </c>
      <c r="C333" s="26" t="s">
        <v>1689</v>
      </c>
      <c r="D333" s="26" t="s">
        <v>1690</v>
      </c>
      <c r="E333" s="26" t="s">
        <v>1691</v>
      </c>
      <c r="F333" s="26" t="s">
        <v>1692</v>
      </c>
      <c r="G333" s="26" t="s">
        <v>1694</v>
      </c>
      <c r="H333" s="27" t="s">
        <v>173</v>
      </c>
    </row>
    <row r="334">
      <c r="A334" s="24">
        <v>328.0</v>
      </c>
      <c r="B334" s="25" t="s">
        <v>1398</v>
      </c>
      <c r="C334" s="26" t="s">
        <v>1695</v>
      </c>
      <c r="D334" s="26" t="s">
        <v>1656</v>
      </c>
      <c r="E334" s="26" t="s">
        <v>1696</v>
      </c>
      <c r="F334" s="26" t="s">
        <v>1697</v>
      </c>
      <c r="G334" s="26" t="s">
        <v>1699</v>
      </c>
      <c r="H334" s="27" t="s">
        <v>154</v>
      </c>
    </row>
    <row r="335">
      <c r="A335" s="24">
        <v>329.0</v>
      </c>
      <c r="B335" s="25" t="s">
        <v>1398</v>
      </c>
      <c r="C335" s="26" t="s">
        <v>1700</v>
      </c>
      <c r="D335" s="26" t="s">
        <v>1701</v>
      </c>
      <c r="E335" s="26" t="s">
        <v>1428</v>
      </c>
      <c r="F335" s="26" t="s">
        <v>1702</v>
      </c>
      <c r="G335" s="26" t="s">
        <v>299</v>
      </c>
      <c r="H335" s="27" t="s">
        <v>154</v>
      </c>
    </row>
    <row r="336">
      <c r="A336" s="24">
        <v>330.0</v>
      </c>
      <c r="B336" s="25" t="s">
        <v>1398</v>
      </c>
      <c r="C336" s="26" t="s">
        <v>1703</v>
      </c>
      <c r="D336" s="26" t="s">
        <v>1704</v>
      </c>
      <c r="E336" s="26" t="s">
        <v>1706</v>
      </c>
      <c r="F336" s="26" t="s">
        <v>1707</v>
      </c>
      <c r="G336" s="26" t="s">
        <v>299</v>
      </c>
      <c r="H336" s="27" t="s">
        <v>154</v>
      </c>
    </row>
    <row r="337">
      <c r="A337" s="24">
        <v>331.0</v>
      </c>
      <c r="B337" s="25" t="s">
        <v>1398</v>
      </c>
      <c r="C337" s="26" t="s">
        <v>1708</v>
      </c>
      <c r="D337" s="26" t="s">
        <v>1710</v>
      </c>
      <c r="E337" s="26" t="s">
        <v>1711</v>
      </c>
      <c r="F337" s="26" t="s">
        <v>1712</v>
      </c>
      <c r="G337" s="26" t="s">
        <v>299</v>
      </c>
      <c r="H337" s="27" t="s">
        <v>173</v>
      </c>
    </row>
    <row r="338">
      <c r="A338" s="24">
        <v>332.0</v>
      </c>
      <c r="B338" s="25" t="s">
        <v>1398</v>
      </c>
      <c r="C338" s="26" t="s">
        <v>1713</v>
      </c>
      <c r="D338" s="26" t="s">
        <v>1714</v>
      </c>
      <c r="E338" s="26" t="s">
        <v>1715</v>
      </c>
      <c r="F338" s="26" t="s">
        <v>1716</v>
      </c>
      <c r="G338" s="26" t="s">
        <v>1717</v>
      </c>
      <c r="H338" s="27" t="s">
        <v>161</v>
      </c>
    </row>
    <row r="339">
      <c r="A339" s="24">
        <v>333.0</v>
      </c>
      <c r="B339" s="25" t="s">
        <v>1398</v>
      </c>
      <c r="C339" s="26" t="s">
        <v>1719</v>
      </c>
      <c r="D339" s="26" t="s">
        <v>1720</v>
      </c>
      <c r="E339" s="26" t="s">
        <v>1721</v>
      </c>
      <c r="F339" s="26" t="s">
        <v>1722</v>
      </c>
      <c r="G339" s="26" t="s">
        <v>1640</v>
      </c>
      <c r="H339" s="27" t="s">
        <v>161</v>
      </c>
    </row>
    <row r="340">
      <c r="A340" s="24">
        <v>334.0</v>
      </c>
      <c r="B340" s="25" t="s">
        <v>1398</v>
      </c>
      <c r="C340" s="26" t="s">
        <v>1724</v>
      </c>
      <c r="D340" s="26" t="s">
        <v>1725</v>
      </c>
      <c r="E340" s="26" t="s">
        <v>1726</v>
      </c>
      <c r="F340" s="26" t="s">
        <v>1727</v>
      </c>
      <c r="G340" s="26" t="s">
        <v>1728</v>
      </c>
      <c r="H340" s="27" t="s">
        <v>173</v>
      </c>
    </row>
    <row r="341">
      <c r="A341" s="24">
        <v>335.0</v>
      </c>
      <c r="B341" s="25" t="s">
        <v>1398</v>
      </c>
      <c r="C341" s="26" t="s">
        <v>1729</v>
      </c>
      <c r="D341" s="26" t="s">
        <v>1730</v>
      </c>
      <c r="E341" s="26" t="s">
        <v>1731</v>
      </c>
      <c r="F341" s="26" t="s">
        <v>1732</v>
      </c>
      <c r="G341" s="26" t="s">
        <v>1734</v>
      </c>
      <c r="H341" s="27" t="s">
        <v>161</v>
      </c>
    </row>
    <row r="342">
      <c r="A342" s="24">
        <v>336.0</v>
      </c>
      <c r="B342" s="25" t="s">
        <v>1398</v>
      </c>
      <c r="C342" s="26" t="s">
        <v>1735</v>
      </c>
      <c r="D342" s="26" t="s">
        <v>1560</v>
      </c>
      <c r="E342" s="26" t="s">
        <v>1736</v>
      </c>
      <c r="F342" s="26" t="s">
        <v>1737</v>
      </c>
      <c r="G342" s="26" t="s">
        <v>1738</v>
      </c>
      <c r="H342" s="27" t="s">
        <v>173</v>
      </c>
    </row>
    <row r="343">
      <c r="A343" s="24">
        <v>337.0</v>
      </c>
      <c r="B343" s="25" t="s">
        <v>1398</v>
      </c>
      <c r="C343" s="26" t="s">
        <v>1739</v>
      </c>
      <c r="D343" s="26" t="s">
        <v>1586</v>
      </c>
      <c r="E343" s="26" t="s">
        <v>1740</v>
      </c>
      <c r="F343" s="26" t="s">
        <v>1572</v>
      </c>
      <c r="G343" s="26" t="s">
        <v>1741</v>
      </c>
      <c r="H343" s="27" t="s">
        <v>148</v>
      </c>
    </row>
    <row r="344">
      <c r="A344" s="24">
        <v>338.0</v>
      </c>
      <c r="B344" s="25" t="s">
        <v>1398</v>
      </c>
      <c r="C344" s="26" t="s">
        <v>1742</v>
      </c>
      <c r="D344" s="26" t="s">
        <v>1570</v>
      </c>
      <c r="E344" s="26" t="s">
        <v>1571</v>
      </c>
      <c r="F344" s="26" t="s">
        <v>1572</v>
      </c>
      <c r="G344" s="26" t="s">
        <v>1573</v>
      </c>
      <c r="H344" s="27" t="s">
        <v>173</v>
      </c>
    </row>
    <row r="345">
      <c r="A345" s="24">
        <v>339.0</v>
      </c>
      <c r="B345" s="25" t="s">
        <v>1398</v>
      </c>
      <c r="C345" s="26" t="s">
        <v>1743</v>
      </c>
      <c r="D345" s="26" t="s">
        <v>1744</v>
      </c>
      <c r="E345" s="26" t="s">
        <v>1745</v>
      </c>
      <c r="F345" s="26" t="s">
        <v>1746</v>
      </c>
      <c r="G345" s="26" t="s">
        <v>1747</v>
      </c>
      <c r="H345" s="27" t="s">
        <v>173</v>
      </c>
    </row>
    <row r="346">
      <c r="A346" s="24">
        <v>340.0</v>
      </c>
      <c r="B346" s="25" t="s">
        <v>1398</v>
      </c>
      <c r="C346" s="26" t="s">
        <v>1748</v>
      </c>
      <c r="D346" s="26" t="s">
        <v>1749</v>
      </c>
      <c r="E346" s="26" t="s">
        <v>1738</v>
      </c>
      <c r="F346" s="26" t="s">
        <v>1750</v>
      </c>
      <c r="G346" s="26" t="s">
        <v>1751</v>
      </c>
      <c r="H346" s="27" t="s">
        <v>161</v>
      </c>
    </row>
    <row r="347">
      <c r="A347" s="24">
        <v>341.0</v>
      </c>
      <c r="B347" s="25" t="s">
        <v>1398</v>
      </c>
      <c r="C347" s="26" t="s">
        <v>1753</v>
      </c>
      <c r="D347" s="26" t="s">
        <v>1570</v>
      </c>
      <c r="E347" s="26" t="s">
        <v>1587</v>
      </c>
      <c r="F347" s="26" t="s">
        <v>1571</v>
      </c>
      <c r="G347" s="26" t="s">
        <v>1572</v>
      </c>
      <c r="H347" s="27" t="s">
        <v>148</v>
      </c>
    </row>
    <row r="348">
      <c r="A348" s="24">
        <v>342.0</v>
      </c>
      <c r="B348" s="25" t="s">
        <v>1398</v>
      </c>
      <c r="C348" s="26" t="s">
        <v>1755</v>
      </c>
      <c r="D348" s="26" t="s">
        <v>1756</v>
      </c>
      <c r="E348" s="26" t="s">
        <v>1757</v>
      </c>
      <c r="F348" s="26" t="s">
        <v>1758</v>
      </c>
      <c r="G348" s="26" t="s">
        <v>1759</v>
      </c>
      <c r="H348" s="27" t="s">
        <v>173</v>
      </c>
    </row>
    <row r="349">
      <c r="A349" s="24">
        <v>343.0</v>
      </c>
      <c r="B349" s="25" t="s">
        <v>1398</v>
      </c>
      <c r="C349" s="26" t="s">
        <v>1760</v>
      </c>
      <c r="D349" s="26" t="s">
        <v>1761</v>
      </c>
      <c r="E349" s="26" t="s">
        <v>1762</v>
      </c>
      <c r="F349" s="26" t="s">
        <v>1763</v>
      </c>
      <c r="G349" s="26" t="s">
        <v>1764</v>
      </c>
      <c r="H349" s="27" t="s">
        <v>161</v>
      </c>
    </row>
    <row r="350" ht="24.0" customHeight="1">
      <c r="A350" s="24">
        <v>344.0</v>
      </c>
      <c r="B350" s="28" t="s">
        <v>1398</v>
      </c>
      <c r="C350" s="29" t="s">
        <v>1765</v>
      </c>
      <c r="D350" s="29" t="s">
        <v>1766</v>
      </c>
      <c r="E350" s="29" t="s">
        <v>1768</v>
      </c>
      <c r="F350" s="29" t="s">
        <v>1769</v>
      </c>
      <c r="G350" s="29" t="s">
        <v>1770</v>
      </c>
      <c r="H350" s="30" t="s">
        <v>173</v>
      </c>
    </row>
    <row r="351">
      <c r="A351" s="24">
        <v>345.0</v>
      </c>
      <c r="B351" s="25" t="s">
        <v>1398</v>
      </c>
      <c r="C351" s="26" t="s">
        <v>1771</v>
      </c>
      <c r="D351" s="26" t="s">
        <v>1772</v>
      </c>
      <c r="E351" s="26" t="s">
        <v>1773</v>
      </c>
      <c r="F351" s="26" t="s">
        <v>1774</v>
      </c>
      <c r="G351" s="26" t="s">
        <v>1775</v>
      </c>
      <c r="H351" s="27" t="s">
        <v>161</v>
      </c>
    </row>
    <row r="352">
      <c r="A352" s="24">
        <v>346.0</v>
      </c>
      <c r="B352" s="25" t="s">
        <v>1398</v>
      </c>
      <c r="C352" s="26" t="s">
        <v>1776</v>
      </c>
      <c r="D352" s="26" t="s">
        <v>1587</v>
      </c>
      <c r="E352" s="26" t="s">
        <v>1572</v>
      </c>
      <c r="F352" s="26" t="s">
        <v>1570</v>
      </c>
      <c r="G352" s="26" t="s">
        <v>1777</v>
      </c>
      <c r="H352" s="27" t="s">
        <v>173</v>
      </c>
    </row>
    <row r="353">
      <c r="A353" s="24">
        <v>347.0</v>
      </c>
      <c r="B353" s="25" t="s">
        <v>1398</v>
      </c>
      <c r="C353" s="26" t="s">
        <v>1778</v>
      </c>
      <c r="D353" s="26" t="s">
        <v>1779</v>
      </c>
      <c r="E353" s="26" t="s">
        <v>1780</v>
      </c>
      <c r="F353" s="26" t="s">
        <v>1781</v>
      </c>
      <c r="G353" s="26" t="s">
        <v>1782</v>
      </c>
      <c r="H353" s="27" t="s">
        <v>161</v>
      </c>
    </row>
    <row r="354">
      <c r="A354" s="24">
        <v>348.0</v>
      </c>
      <c r="B354" s="25" t="s">
        <v>1398</v>
      </c>
      <c r="C354" s="26" t="s">
        <v>1783</v>
      </c>
      <c r="D354" s="26" t="s">
        <v>1784</v>
      </c>
      <c r="E354" s="26" t="s">
        <v>1785</v>
      </c>
      <c r="F354" s="26" t="s">
        <v>1786</v>
      </c>
      <c r="G354" s="26" t="s">
        <v>299</v>
      </c>
      <c r="H354" s="27" t="s">
        <v>154</v>
      </c>
    </row>
    <row r="355">
      <c r="A355" s="24">
        <v>349.0</v>
      </c>
      <c r="B355" s="25" t="s">
        <v>1398</v>
      </c>
      <c r="C355" s="26" t="s">
        <v>1787</v>
      </c>
      <c r="D355" s="26" t="s">
        <v>1788</v>
      </c>
      <c r="E355" s="26" t="s">
        <v>1789</v>
      </c>
      <c r="F355" s="26" t="s">
        <v>1790</v>
      </c>
      <c r="G355" s="26" t="s">
        <v>299</v>
      </c>
      <c r="H355" s="27" t="s">
        <v>154</v>
      </c>
    </row>
    <row r="356">
      <c r="A356" s="24">
        <v>350.0</v>
      </c>
      <c r="B356" s="25" t="s">
        <v>1398</v>
      </c>
      <c r="C356" s="26" t="s">
        <v>1792</v>
      </c>
      <c r="D356" s="26" t="s">
        <v>1793</v>
      </c>
      <c r="E356" s="26" t="s">
        <v>1794</v>
      </c>
      <c r="F356" s="26" t="s">
        <v>1795</v>
      </c>
      <c r="G356" s="26" t="s">
        <v>1796</v>
      </c>
      <c r="H356" s="27" t="s">
        <v>161</v>
      </c>
    </row>
    <row r="357">
      <c r="A357" s="24">
        <v>351.0</v>
      </c>
      <c r="B357" s="25" t="s">
        <v>1398</v>
      </c>
      <c r="C357" s="26" t="s">
        <v>1798</v>
      </c>
      <c r="D357" s="26" t="s">
        <v>1560</v>
      </c>
      <c r="E357" s="26" t="s">
        <v>1736</v>
      </c>
      <c r="F357" s="26" t="s">
        <v>1799</v>
      </c>
      <c r="G357" s="26" t="s">
        <v>1738</v>
      </c>
      <c r="H357" s="27" t="s">
        <v>148</v>
      </c>
    </row>
    <row r="358">
      <c r="A358" s="24">
        <v>352.0</v>
      </c>
      <c r="B358" s="25" t="s">
        <v>1398</v>
      </c>
      <c r="C358" s="26" t="s">
        <v>1800</v>
      </c>
      <c r="D358" s="26" t="s">
        <v>1022</v>
      </c>
      <c r="E358" s="26" t="s">
        <v>1801</v>
      </c>
      <c r="F358" s="26" t="s">
        <v>1542</v>
      </c>
      <c r="G358" s="26" t="s">
        <v>1802</v>
      </c>
      <c r="H358" s="27" t="s">
        <v>161</v>
      </c>
    </row>
    <row r="359">
      <c r="A359" s="24">
        <v>353.0</v>
      </c>
      <c r="B359" s="25" t="s">
        <v>1398</v>
      </c>
      <c r="C359" s="26" t="s">
        <v>1803</v>
      </c>
      <c r="D359" s="26" t="s">
        <v>1804</v>
      </c>
      <c r="E359" s="26" t="s">
        <v>1805</v>
      </c>
      <c r="F359" s="26" t="s">
        <v>1806</v>
      </c>
      <c r="G359" s="26" t="s">
        <v>1807</v>
      </c>
      <c r="H359" s="27" t="s">
        <v>148</v>
      </c>
    </row>
    <row r="360">
      <c r="A360" s="24">
        <v>354.0</v>
      </c>
      <c r="B360" s="25" t="s">
        <v>1398</v>
      </c>
      <c r="C360" s="26" t="s">
        <v>1808</v>
      </c>
      <c r="D360" s="26" t="s">
        <v>1809</v>
      </c>
      <c r="E360" s="26" t="s">
        <v>1810</v>
      </c>
      <c r="F360" s="26" t="s">
        <v>1811</v>
      </c>
      <c r="G360" s="26" t="s">
        <v>1812</v>
      </c>
      <c r="H360" s="27" t="s">
        <v>173</v>
      </c>
    </row>
    <row r="361">
      <c r="A361" s="24">
        <v>355.0</v>
      </c>
      <c r="B361" s="25" t="s">
        <v>1398</v>
      </c>
      <c r="C361" s="26" t="s">
        <v>1813</v>
      </c>
      <c r="D361" s="26" t="s">
        <v>1814</v>
      </c>
      <c r="E361" s="26" t="s">
        <v>1815</v>
      </c>
      <c r="F361" s="26" t="s">
        <v>1816</v>
      </c>
      <c r="G361" s="26" t="s">
        <v>1817</v>
      </c>
      <c r="H361" s="27" t="s">
        <v>154</v>
      </c>
    </row>
    <row r="362">
      <c r="A362" s="24">
        <v>356.0</v>
      </c>
      <c r="B362" s="25" t="s">
        <v>1398</v>
      </c>
      <c r="C362" s="26" t="s">
        <v>1818</v>
      </c>
      <c r="D362" s="26" t="s">
        <v>1819</v>
      </c>
      <c r="E362" s="26" t="s">
        <v>1820</v>
      </c>
      <c r="F362" s="26" t="s">
        <v>1821</v>
      </c>
      <c r="G362" s="26" t="s">
        <v>1822</v>
      </c>
      <c r="H362" s="27" t="s">
        <v>161</v>
      </c>
    </row>
    <row r="363">
      <c r="A363" s="24">
        <v>357.0</v>
      </c>
      <c r="B363" s="25" t="s">
        <v>1398</v>
      </c>
      <c r="C363" s="26" t="s">
        <v>1823</v>
      </c>
      <c r="D363" s="26" t="s">
        <v>1824</v>
      </c>
      <c r="E363" s="26" t="s">
        <v>1825</v>
      </c>
      <c r="F363" s="26" t="s">
        <v>1826</v>
      </c>
      <c r="G363" s="26" t="s">
        <v>1827</v>
      </c>
      <c r="H363" s="27" t="s">
        <v>173</v>
      </c>
    </row>
    <row r="364">
      <c r="A364" s="24">
        <v>358.0</v>
      </c>
      <c r="B364" s="25" t="s">
        <v>1398</v>
      </c>
      <c r="C364" s="26" t="s">
        <v>1828</v>
      </c>
      <c r="D364" s="26" t="s">
        <v>1829</v>
      </c>
      <c r="E364" s="26" t="s">
        <v>1830</v>
      </c>
      <c r="F364" s="26" t="s">
        <v>1831</v>
      </c>
      <c r="G364" s="26" t="s">
        <v>1832</v>
      </c>
      <c r="H364" s="27" t="s">
        <v>173</v>
      </c>
    </row>
    <row r="365">
      <c r="A365" s="24">
        <v>359.0</v>
      </c>
      <c r="B365" s="25" t="s">
        <v>1398</v>
      </c>
      <c r="C365" s="26" t="s">
        <v>1833</v>
      </c>
      <c r="D365" s="26" t="s">
        <v>1834</v>
      </c>
      <c r="E365" s="26" t="s">
        <v>1835</v>
      </c>
      <c r="F365" s="26" t="s">
        <v>1836</v>
      </c>
      <c r="G365" s="26" t="s">
        <v>1837</v>
      </c>
      <c r="H365" s="27" t="s">
        <v>161</v>
      </c>
    </row>
    <row r="366">
      <c r="A366" s="24">
        <v>360.0</v>
      </c>
      <c r="B366" s="25" t="s">
        <v>1398</v>
      </c>
      <c r="C366" s="26" t="s">
        <v>1838</v>
      </c>
      <c r="D366" s="26" t="s">
        <v>1839</v>
      </c>
      <c r="E366" s="26" t="s">
        <v>1840</v>
      </c>
      <c r="F366" s="26" t="s">
        <v>1841</v>
      </c>
      <c r="G366" s="26" t="s">
        <v>1842</v>
      </c>
      <c r="H366" s="27" t="s">
        <v>148</v>
      </c>
    </row>
    <row r="367">
      <c r="A367" s="21" t="s">
        <v>1843</v>
      </c>
      <c r="B367" s="22"/>
      <c r="C367" s="22"/>
      <c r="D367" s="22"/>
      <c r="E367" s="22"/>
      <c r="F367" s="22"/>
      <c r="G367" s="22"/>
      <c r="H367" s="23"/>
    </row>
    <row r="368">
      <c r="A368" s="24">
        <v>361.0</v>
      </c>
      <c r="B368" s="25" t="s">
        <v>1844</v>
      </c>
      <c r="C368" s="26" t="s">
        <v>1845</v>
      </c>
      <c r="D368" s="26" t="s">
        <v>1846</v>
      </c>
      <c r="E368" s="26" t="s">
        <v>1847</v>
      </c>
      <c r="F368" s="26" t="s">
        <v>1848</v>
      </c>
      <c r="G368" s="26" t="s">
        <v>1849</v>
      </c>
      <c r="H368" s="27" t="s">
        <v>161</v>
      </c>
    </row>
    <row r="369">
      <c r="A369" s="24">
        <v>362.0</v>
      </c>
      <c r="B369" s="25" t="s">
        <v>1844</v>
      </c>
      <c r="C369" s="26" t="s">
        <v>1850</v>
      </c>
      <c r="D369" s="26" t="s">
        <v>1851</v>
      </c>
      <c r="E369" s="26" t="s">
        <v>1852</v>
      </c>
      <c r="F369" s="26" t="s">
        <v>1853</v>
      </c>
      <c r="G369" s="26" t="s">
        <v>1854</v>
      </c>
      <c r="H369" s="27" t="s">
        <v>161</v>
      </c>
    </row>
    <row r="370">
      <c r="A370" s="24">
        <v>363.0</v>
      </c>
      <c r="B370" s="25" t="s">
        <v>1844</v>
      </c>
      <c r="C370" s="26" t="s">
        <v>1855</v>
      </c>
      <c r="D370" s="26" t="s">
        <v>1714</v>
      </c>
      <c r="E370" s="26" t="s">
        <v>1856</v>
      </c>
      <c r="F370" s="26" t="s">
        <v>1857</v>
      </c>
      <c r="G370" s="26" t="s">
        <v>1858</v>
      </c>
      <c r="H370" s="27" t="s">
        <v>148</v>
      </c>
    </row>
    <row r="371">
      <c r="A371" s="24">
        <v>364.0</v>
      </c>
      <c r="B371" s="25" t="s">
        <v>1844</v>
      </c>
      <c r="C371" s="26" t="s">
        <v>1859</v>
      </c>
      <c r="D371" s="26" t="s">
        <v>1860</v>
      </c>
      <c r="E371" s="26" t="s">
        <v>1861</v>
      </c>
      <c r="F371" s="26" t="s">
        <v>1862</v>
      </c>
      <c r="G371" s="26" t="s">
        <v>1863</v>
      </c>
      <c r="H371" s="27" t="s">
        <v>161</v>
      </c>
    </row>
    <row r="372">
      <c r="A372" s="24">
        <v>365.0</v>
      </c>
      <c r="B372" s="25" t="s">
        <v>1844</v>
      </c>
      <c r="C372" s="26" t="s">
        <v>1865</v>
      </c>
      <c r="D372" s="26" t="s">
        <v>1866</v>
      </c>
      <c r="E372" s="26" t="s">
        <v>1867</v>
      </c>
      <c r="F372" s="26" t="s">
        <v>1868</v>
      </c>
      <c r="G372" s="26" t="s">
        <v>1869</v>
      </c>
      <c r="H372" s="27" t="s">
        <v>173</v>
      </c>
    </row>
    <row r="373">
      <c r="A373" s="24">
        <v>366.0</v>
      </c>
      <c r="B373" s="25" t="s">
        <v>1844</v>
      </c>
      <c r="C373" s="26" t="s">
        <v>1870</v>
      </c>
      <c r="D373" s="26" t="s">
        <v>1871</v>
      </c>
      <c r="E373" s="26" t="s">
        <v>1872</v>
      </c>
      <c r="F373" s="26" t="s">
        <v>1873</v>
      </c>
      <c r="G373" s="26" t="s">
        <v>1874</v>
      </c>
      <c r="H373" s="27" t="s">
        <v>148</v>
      </c>
    </row>
    <row r="374">
      <c r="A374" s="24">
        <v>367.0</v>
      </c>
      <c r="B374" s="25" t="s">
        <v>1844</v>
      </c>
      <c r="C374" s="26" t="s">
        <v>1875</v>
      </c>
      <c r="D374" s="26" t="s">
        <v>1876</v>
      </c>
      <c r="E374" s="26" t="s">
        <v>1877</v>
      </c>
      <c r="F374" s="26" t="s">
        <v>1878</v>
      </c>
      <c r="G374" s="26" t="s">
        <v>1879</v>
      </c>
      <c r="H374" s="27" t="s">
        <v>148</v>
      </c>
    </row>
    <row r="375">
      <c r="A375" s="24">
        <v>368.0</v>
      </c>
      <c r="B375" s="25" t="s">
        <v>1844</v>
      </c>
      <c r="C375" s="26" t="s">
        <v>1880</v>
      </c>
      <c r="D375" s="26" t="s">
        <v>1881</v>
      </c>
      <c r="E375" s="26" t="s">
        <v>1882</v>
      </c>
      <c r="F375" s="26" t="s">
        <v>1883</v>
      </c>
      <c r="G375" s="26" t="s">
        <v>1884</v>
      </c>
      <c r="H375" s="27" t="s">
        <v>148</v>
      </c>
    </row>
    <row r="376">
      <c r="A376" s="24">
        <v>369.0</v>
      </c>
      <c r="B376" s="25" t="s">
        <v>1844</v>
      </c>
      <c r="C376" s="26" t="s">
        <v>1885</v>
      </c>
      <c r="D376" s="26" t="s">
        <v>1886</v>
      </c>
      <c r="E376" s="26" t="s">
        <v>1887</v>
      </c>
      <c r="F376" s="26" t="s">
        <v>1888</v>
      </c>
      <c r="G376" s="26" t="s">
        <v>1889</v>
      </c>
      <c r="H376" s="27" t="s">
        <v>173</v>
      </c>
    </row>
    <row r="377">
      <c r="A377" s="24">
        <v>370.0</v>
      </c>
      <c r="B377" s="25" t="s">
        <v>1844</v>
      </c>
      <c r="C377" s="26" t="s">
        <v>1890</v>
      </c>
      <c r="D377" s="26" t="s">
        <v>1891</v>
      </c>
      <c r="E377" s="26" t="s">
        <v>1892</v>
      </c>
      <c r="F377" s="26" t="s">
        <v>1893</v>
      </c>
      <c r="G377" s="26" t="s">
        <v>1894</v>
      </c>
      <c r="H377" s="27" t="s">
        <v>173</v>
      </c>
    </row>
    <row r="378">
      <c r="A378" s="24">
        <v>371.0</v>
      </c>
      <c r="B378" s="25" t="s">
        <v>1844</v>
      </c>
      <c r="C378" s="26" t="s">
        <v>1895</v>
      </c>
      <c r="D378" s="26" t="s">
        <v>1896</v>
      </c>
      <c r="E378" s="26" t="s">
        <v>1897</v>
      </c>
      <c r="F378" s="26" t="s">
        <v>1898</v>
      </c>
      <c r="G378" s="26" t="s">
        <v>1899</v>
      </c>
      <c r="H378" s="27" t="s">
        <v>161</v>
      </c>
    </row>
    <row r="379">
      <c r="A379" s="24">
        <v>372.0</v>
      </c>
      <c r="B379" s="25" t="s">
        <v>1844</v>
      </c>
      <c r="C379" s="26" t="s">
        <v>1900</v>
      </c>
      <c r="D379" s="26" t="s">
        <v>1901</v>
      </c>
      <c r="E379" s="26" t="s">
        <v>1902</v>
      </c>
      <c r="F379" s="26" t="s">
        <v>1903</v>
      </c>
      <c r="G379" s="26" t="s">
        <v>1904</v>
      </c>
      <c r="H379" s="27" t="s">
        <v>154</v>
      </c>
    </row>
    <row r="380">
      <c r="A380" s="24">
        <v>373.0</v>
      </c>
      <c r="B380" s="25" t="s">
        <v>1844</v>
      </c>
      <c r="C380" s="26" t="s">
        <v>1905</v>
      </c>
      <c r="D380" s="26" t="s">
        <v>1906</v>
      </c>
      <c r="E380" s="26" t="s">
        <v>1907</v>
      </c>
      <c r="F380" s="26" t="s">
        <v>1908</v>
      </c>
      <c r="G380" s="26" t="s">
        <v>1909</v>
      </c>
      <c r="H380" s="27" t="s">
        <v>154</v>
      </c>
    </row>
    <row r="381">
      <c r="A381" s="24">
        <v>374.0</v>
      </c>
      <c r="B381" s="25" t="s">
        <v>1844</v>
      </c>
      <c r="C381" s="26" t="s">
        <v>1910</v>
      </c>
      <c r="D381" s="26" t="s">
        <v>1911</v>
      </c>
      <c r="E381" s="26" t="s">
        <v>1912</v>
      </c>
      <c r="F381" s="26" t="s">
        <v>1913</v>
      </c>
      <c r="G381" s="26" t="s">
        <v>1914</v>
      </c>
      <c r="H381" s="27" t="s">
        <v>154</v>
      </c>
    </row>
    <row r="382">
      <c r="A382" s="24">
        <v>375.0</v>
      </c>
      <c r="B382" s="25" t="s">
        <v>1844</v>
      </c>
      <c r="C382" s="26" t="s">
        <v>1915</v>
      </c>
      <c r="D382" s="26" t="s">
        <v>1916</v>
      </c>
      <c r="E382" s="26" t="s">
        <v>254</v>
      </c>
      <c r="F382" s="26" t="s">
        <v>1458</v>
      </c>
      <c r="G382" s="26" t="s">
        <v>1918</v>
      </c>
      <c r="H382" s="27" t="s">
        <v>148</v>
      </c>
    </row>
    <row r="383">
      <c r="A383" s="24">
        <v>376.0</v>
      </c>
      <c r="B383" s="25" t="s">
        <v>1844</v>
      </c>
      <c r="C383" s="26" t="s">
        <v>1920</v>
      </c>
      <c r="D383" s="26" t="s">
        <v>1921</v>
      </c>
      <c r="E383" s="26" t="s">
        <v>1922</v>
      </c>
      <c r="F383" s="26" t="s">
        <v>1923</v>
      </c>
      <c r="G383" s="26" t="s">
        <v>1924</v>
      </c>
      <c r="H383" s="27" t="s">
        <v>173</v>
      </c>
    </row>
    <row r="384">
      <c r="A384" s="24">
        <v>377.0</v>
      </c>
      <c r="B384" s="25" t="s">
        <v>1844</v>
      </c>
      <c r="C384" s="26" t="s">
        <v>1926</v>
      </c>
      <c r="D384" s="26" t="s">
        <v>1927</v>
      </c>
      <c r="E384" s="26" t="s">
        <v>1928</v>
      </c>
      <c r="F384" s="26" t="s">
        <v>1929</v>
      </c>
      <c r="G384" s="26" t="s">
        <v>1930</v>
      </c>
      <c r="H384" s="27" t="s">
        <v>173</v>
      </c>
    </row>
    <row r="385">
      <c r="A385" s="24">
        <v>378.0</v>
      </c>
      <c r="B385" s="25" t="s">
        <v>1844</v>
      </c>
      <c r="C385" s="26" t="s">
        <v>1931</v>
      </c>
      <c r="D385" s="26" t="s">
        <v>1932</v>
      </c>
      <c r="E385" s="26" t="s">
        <v>913</v>
      </c>
      <c r="F385" s="26" t="s">
        <v>627</v>
      </c>
      <c r="G385" s="26" t="s">
        <v>628</v>
      </c>
      <c r="H385" s="27" t="s">
        <v>161</v>
      </c>
    </row>
    <row r="386">
      <c r="A386" s="24">
        <v>379.0</v>
      </c>
      <c r="B386" s="25" t="s">
        <v>1844</v>
      </c>
      <c r="C386" s="26" t="s">
        <v>1934</v>
      </c>
      <c r="D386" s="26" t="s">
        <v>1935</v>
      </c>
      <c r="E386" s="26" t="s">
        <v>1936</v>
      </c>
      <c r="F386" s="26" t="s">
        <v>1937</v>
      </c>
      <c r="G386" s="26" t="s">
        <v>1938</v>
      </c>
      <c r="H386" s="27" t="s">
        <v>161</v>
      </c>
    </row>
    <row r="387">
      <c r="A387" s="24">
        <v>380.0</v>
      </c>
      <c r="B387" s="25" t="s">
        <v>1844</v>
      </c>
      <c r="C387" s="26" t="s">
        <v>1939</v>
      </c>
      <c r="D387" s="26" t="b">
        <v>1</v>
      </c>
      <c r="E387" s="26" t="b">
        <v>0</v>
      </c>
      <c r="F387" s="26"/>
      <c r="G387" s="26"/>
      <c r="H387" s="27" t="s">
        <v>173</v>
      </c>
    </row>
    <row r="388">
      <c r="A388" s="24">
        <v>381.0</v>
      </c>
      <c r="B388" s="25" t="s">
        <v>1844</v>
      </c>
      <c r="C388" s="26" t="s">
        <v>1940</v>
      </c>
      <c r="D388" s="26" t="s">
        <v>1941</v>
      </c>
      <c r="E388" s="26" t="s">
        <v>1942</v>
      </c>
      <c r="F388" s="26" t="s">
        <v>1943</v>
      </c>
      <c r="G388" s="26" t="s">
        <v>1944</v>
      </c>
      <c r="H388" s="27" t="s">
        <v>154</v>
      </c>
    </row>
    <row r="389">
      <c r="A389" s="24">
        <v>382.0</v>
      </c>
      <c r="B389" s="25" t="s">
        <v>1844</v>
      </c>
      <c r="C389" s="26" t="s">
        <v>1946</v>
      </c>
      <c r="D389" s="26" t="s">
        <v>1088</v>
      </c>
      <c r="E389" s="26" t="s">
        <v>252</v>
      </c>
      <c r="F389" s="26" t="s">
        <v>292</v>
      </c>
      <c r="G389" s="26" t="s">
        <v>1916</v>
      </c>
      <c r="H389" s="27" t="s">
        <v>148</v>
      </c>
    </row>
    <row r="390">
      <c r="A390" s="24">
        <v>383.0</v>
      </c>
      <c r="B390" s="25" t="s">
        <v>1844</v>
      </c>
      <c r="C390" s="26" t="s">
        <v>1948</v>
      </c>
      <c r="D390" s="26" t="s">
        <v>1949</v>
      </c>
      <c r="E390" s="26" t="s">
        <v>1950</v>
      </c>
      <c r="F390" s="26" t="s">
        <v>1951</v>
      </c>
      <c r="G390" s="26" t="s">
        <v>1952</v>
      </c>
      <c r="H390" s="27" t="s">
        <v>148</v>
      </c>
    </row>
    <row r="391" ht="24.0" customHeight="1">
      <c r="A391" s="24">
        <v>384.0</v>
      </c>
      <c r="B391" s="28" t="s">
        <v>1844</v>
      </c>
      <c r="C391" s="29" t="s">
        <v>1954</v>
      </c>
      <c r="D391" s="29" t="s">
        <v>1955</v>
      </c>
      <c r="E391" s="29" t="s">
        <v>1956</v>
      </c>
      <c r="F391" s="29"/>
      <c r="G391" s="29"/>
      <c r="H391" s="30" t="s">
        <v>173</v>
      </c>
    </row>
    <row r="392">
      <c r="A392" s="24">
        <v>385.0</v>
      </c>
      <c r="B392" s="25" t="s">
        <v>1844</v>
      </c>
      <c r="C392" s="26" t="s">
        <v>1958</v>
      </c>
      <c r="D392" s="26" t="s">
        <v>1959</v>
      </c>
      <c r="E392" s="26" t="s">
        <v>1960</v>
      </c>
      <c r="F392" s="26" t="s">
        <v>1961</v>
      </c>
      <c r="G392" s="26" t="s">
        <v>1962</v>
      </c>
      <c r="H392" s="27" t="s">
        <v>154</v>
      </c>
    </row>
    <row r="393">
      <c r="A393" s="24">
        <v>386.0</v>
      </c>
      <c r="B393" s="25" t="s">
        <v>1844</v>
      </c>
      <c r="C393" s="26" t="s">
        <v>1963</v>
      </c>
      <c r="D393" s="26" t="s">
        <v>1964</v>
      </c>
      <c r="E393" s="26" t="s">
        <v>1965</v>
      </c>
      <c r="F393" s="26" t="s">
        <v>1966</v>
      </c>
      <c r="G393" s="26" t="s">
        <v>1967</v>
      </c>
      <c r="H393" s="27" t="s">
        <v>148</v>
      </c>
    </row>
    <row r="394">
      <c r="A394" s="24">
        <v>387.0</v>
      </c>
      <c r="B394" s="25" t="s">
        <v>1844</v>
      </c>
      <c r="C394" s="26" t="s">
        <v>1968</v>
      </c>
      <c r="D394" s="26" t="s">
        <v>1969</v>
      </c>
      <c r="E394" s="26" t="s">
        <v>1971</v>
      </c>
      <c r="F394" s="26" t="s">
        <v>1972</v>
      </c>
      <c r="G394" s="26" t="s">
        <v>1973</v>
      </c>
      <c r="H394" s="27" t="s">
        <v>154</v>
      </c>
    </row>
    <row r="395">
      <c r="A395" s="24">
        <v>388.0</v>
      </c>
      <c r="B395" s="25" t="s">
        <v>1844</v>
      </c>
      <c r="C395" s="26" t="s">
        <v>1975</v>
      </c>
      <c r="D395" s="26" t="s">
        <v>1976</v>
      </c>
      <c r="E395" s="26" t="s">
        <v>1977</v>
      </c>
      <c r="F395" s="26" t="s">
        <v>1978</v>
      </c>
      <c r="G395" s="26" t="s">
        <v>1979</v>
      </c>
      <c r="H395" s="27" t="s">
        <v>148</v>
      </c>
    </row>
    <row r="396">
      <c r="A396" s="24">
        <v>389.0</v>
      </c>
      <c r="B396" s="25" t="s">
        <v>1844</v>
      </c>
      <c r="C396" s="26" t="s">
        <v>1980</v>
      </c>
      <c r="D396" s="26" t="s">
        <v>1981</v>
      </c>
      <c r="E396" s="26" t="s">
        <v>1982</v>
      </c>
      <c r="F396" s="26" t="s">
        <v>1984</v>
      </c>
      <c r="G396" s="26" t="s">
        <v>1985</v>
      </c>
      <c r="H396" s="27" t="s">
        <v>161</v>
      </c>
    </row>
    <row r="397">
      <c r="A397" s="24">
        <v>390.0</v>
      </c>
      <c r="B397" s="25" t="s">
        <v>1844</v>
      </c>
      <c r="C397" s="26" t="s">
        <v>1986</v>
      </c>
      <c r="D397" s="26" t="s">
        <v>1987</v>
      </c>
      <c r="E397" s="26" t="s">
        <v>1989</v>
      </c>
      <c r="F397" s="26" t="s">
        <v>1990</v>
      </c>
      <c r="G397" s="26" t="s">
        <v>1991</v>
      </c>
      <c r="H397" s="27" t="s">
        <v>161</v>
      </c>
    </row>
    <row r="398">
      <c r="A398" s="24">
        <v>391.0</v>
      </c>
      <c r="B398" s="25" t="s">
        <v>1844</v>
      </c>
      <c r="C398" s="26" t="s">
        <v>1992</v>
      </c>
      <c r="D398" s="26" t="s">
        <v>1993</v>
      </c>
      <c r="E398" s="26" t="s">
        <v>1994</v>
      </c>
      <c r="F398" s="26" t="s">
        <v>1995</v>
      </c>
      <c r="G398" s="26" t="s">
        <v>1996</v>
      </c>
      <c r="H398" s="27" t="s">
        <v>161</v>
      </c>
    </row>
    <row r="399">
      <c r="A399" s="24">
        <v>392.0</v>
      </c>
      <c r="B399" s="25" t="s">
        <v>1844</v>
      </c>
      <c r="C399" s="26" t="s">
        <v>1997</v>
      </c>
      <c r="D399" s="31" t="s">
        <v>439</v>
      </c>
      <c r="E399" s="26" t="s">
        <v>4</v>
      </c>
      <c r="F399" s="26" t="s">
        <v>1998</v>
      </c>
      <c r="G399" s="26" t="s">
        <v>1999</v>
      </c>
      <c r="H399" s="27" t="s">
        <v>148</v>
      </c>
    </row>
    <row r="400">
      <c r="A400" s="24">
        <v>393.0</v>
      </c>
      <c r="B400" s="25" t="s">
        <v>1844</v>
      </c>
      <c r="C400" s="26" t="s">
        <v>2001</v>
      </c>
      <c r="D400" s="26" t="b">
        <v>1</v>
      </c>
      <c r="E400" s="26" t="b">
        <v>0</v>
      </c>
      <c r="F400" s="26"/>
      <c r="G400" s="26"/>
      <c r="H400" s="27" t="s">
        <v>161</v>
      </c>
    </row>
    <row r="401">
      <c r="A401" s="24">
        <v>394.0</v>
      </c>
      <c r="B401" s="25" t="s">
        <v>1844</v>
      </c>
      <c r="C401" s="26" t="s">
        <v>2002</v>
      </c>
      <c r="D401" s="26" t="s">
        <v>1932</v>
      </c>
      <c r="E401" s="26" t="s">
        <v>913</v>
      </c>
      <c r="F401" s="26" t="s">
        <v>627</v>
      </c>
      <c r="G401" s="26" t="s">
        <v>628</v>
      </c>
      <c r="H401" s="27" t="s">
        <v>154</v>
      </c>
    </row>
    <row r="402">
      <c r="A402" s="24">
        <v>395.0</v>
      </c>
      <c r="B402" s="25" t="s">
        <v>1844</v>
      </c>
      <c r="C402" s="26" t="s">
        <v>2003</v>
      </c>
      <c r="D402" s="26" t="s">
        <v>1860</v>
      </c>
      <c r="E402" s="26" t="s">
        <v>1861</v>
      </c>
      <c r="F402" s="26" t="s">
        <v>1862</v>
      </c>
      <c r="G402" s="26" t="s">
        <v>1973</v>
      </c>
      <c r="H402" s="27" t="s">
        <v>154</v>
      </c>
    </row>
    <row r="403">
      <c r="A403" s="24">
        <v>396.0</v>
      </c>
      <c r="B403" s="25" t="s">
        <v>1844</v>
      </c>
      <c r="C403" s="26" t="s">
        <v>2004</v>
      </c>
      <c r="D403" s="26" t="s">
        <v>1088</v>
      </c>
      <c r="E403" s="26" t="s">
        <v>292</v>
      </c>
      <c r="F403" s="26" t="s">
        <v>252</v>
      </c>
      <c r="G403" s="26" t="s">
        <v>1916</v>
      </c>
      <c r="H403" s="27" t="s">
        <v>148</v>
      </c>
    </row>
    <row r="404">
      <c r="A404" s="24">
        <v>397.0</v>
      </c>
      <c r="B404" s="25" t="s">
        <v>1844</v>
      </c>
      <c r="C404" s="26" t="s">
        <v>2005</v>
      </c>
      <c r="D404" s="26" t="s">
        <v>2006</v>
      </c>
      <c r="E404" s="26" t="s">
        <v>2007</v>
      </c>
      <c r="F404" s="26" t="s">
        <v>2008</v>
      </c>
      <c r="G404" s="26" t="s">
        <v>2009</v>
      </c>
      <c r="H404" s="27" t="s">
        <v>173</v>
      </c>
    </row>
    <row r="405">
      <c r="A405" s="24">
        <v>398.0</v>
      </c>
      <c r="B405" s="25" t="s">
        <v>1844</v>
      </c>
      <c r="C405" s="26" t="s">
        <v>2010</v>
      </c>
      <c r="D405" s="26" t="s">
        <v>2011</v>
      </c>
      <c r="E405" s="26" t="s">
        <v>2012</v>
      </c>
      <c r="F405" s="26" t="s">
        <v>2013</v>
      </c>
      <c r="G405" s="26" t="s">
        <v>2014</v>
      </c>
      <c r="H405" s="27" t="s">
        <v>154</v>
      </c>
    </row>
    <row r="406">
      <c r="A406" s="24">
        <v>399.0</v>
      </c>
      <c r="B406" s="25" t="s">
        <v>1844</v>
      </c>
      <c r="C406" s="26" t="s">
        <v>2015</v>
      </c>
      <c r="D406" s="32" t="s">
        <v>1575</v>
      </c>
      <c r="E406" s="26" t="s">
        <v>1104</v>
      </c>
      <c r="F406" s="26" t="s">
        <v>287</v>
      </c>
      <c r="G406" s="26" t="s">
        <v>1105</v>
      </c>
      <c r="H406" s="27" t="s">
        <v>154</v>
      </c>
    </row>
    <row r="407">
      <c r="A407" s="24">
        <v>400.0</v>
      </c>
      <c r="B407" s="25" t="s">
        <v>1844</v>
      </c>
      <c r="C407" s="26" t="s">
        <v>2016</v>
      </c>
      <c r="D407" s="26" t="s">
        <v>2017</v>
      </c>
      <c r="E407" s="26" t="s">
        <v>2018</v>
      </c>
      <c r="F407" s="26" t="s">
        <v>2019</v>
      </c>
      <c r="G407" s="26" t="s">
        <v>2020</v>
      </c>
      <c r="H407" s="27" t="s">
        <v>173</v>
      </c>
    </row>
    <row r="408">
      <c r="A408" s="24">
        <v>401.0</v>
      </c>
      <c r="B408" s="25" t="s">
        <v>1844</v>
      </c>
      <c r="C408" s="26" t="s">
        <v>2021</v>
      </c>
      <c r="D408" s="26" t="s">
        <v>2018</v>
      </c>
      <c r="E408" s="26" t="s">
        <v>1887</v>
      </c>
      <c r="F408" s="26" t="s">
        <v>2022</v>
      </c>
      <c r="G408" s="26" t="s">
        <v>712</v>
      </c>
      <c r="H408" s="27" t="s">
        <v>161</v>
      </c>
    </row>
    <row r="409">
      <c r="A409" s="24">
        <v>402.0</v>
      </c>
      <c r="B409" s="25" t="s">
        <v>1844</v>
      </c>
      <c r="C409" s="26" t="s">
        <v>2023</v>
      </c>
      <c r="D409" s="26" t="s">
        <v>2024</v>
      </c>
      <c r="E409" s="26" t="s">
        <v>2025</v>
      </c>
      <c r="F409" s="26" t="s">
        <v>2026</v>
      </c>
      <c r="G409" s="26" t="s">
        <v>2027</v>
      </c>
      <c r="H409" s="27" t="s">
        <v>173</v>
      </c>
    </row>
    <row r="410">
      <c r="A410" s="24">
        <v>403.0</v>
      </c>
      <c r="B410" s="25" t="s">
        <v>1844</v>
      </c>
      <c r="C410" s="26" t="s">
        <v>2028</v>
      </c>
      <c r="D410" s="26" t="s">
        <v>2029</v>
      </c>
      <c r="E410" s="26" t="s">
        <v>2030</v>
      </c>
      <c r="F410" s="26" t="s">
        <v>2031</v>
      </c>
      <c r="G410" s="26" t="s">
        <v>2032</v>
      </c>
      <c r="H410" s="27" t="s">
        <v>161</v>
      </c>
    </row>
    <row r="411">
      <c r="A411" s="24">
        <v>404.0</v>
      </c>
      <c r="B411" s="25" t="s">
        <v>1844</v>
      </c>
      <c r="C411" s="26" t="s">
        <v>2033</v>
      </c>
      <c r="D411" s="26">
        <v>3.0</v>
      </c>
      <c r="E411" s="26">
        <v>9.0</v>
      </c>
      <c r="F411" s="26">
        <v>5.0</v>
      </c>
      <c r="G411" s="26">
        <v>2.0</v>
      </c>
      <c r="H411" s="27" t="s">
        <v>154</v>
      </c>
    </row>
    <row r="412">
      <c r="A412" s="24">
        <v>405.0</v>
      </c>
      <c r="B412" s="25" t="s">
        <v>1844</v>
      </c>
      <c r="C412" s="26" t="s">
        <v>2035</v>
      </c>
      <c r="D412" s="26" t="s">
        <v>2036</v>
      </c>
      <c r="E412" s="26" t="s">
        <v>2037</v>
      </c>
      <c r="F412" s="26" t="s">
        <v>2038</v>
      </c>
      <c r="G412" s="26" t="s">
        <v>2039</v>
      </c>
      <c r="H412" s="27" t="s">
        <v>161</v>
      </c>
    </row>
    <row r="413">
      <c r="A413" s="24">
        <v>406.0</v>
      </c>
      <c r="B413" s="25" t="s">
        <v>1844</v>
      </c>
      <c r="C413" s="26" t="s">
        <v>2041</v>
      </c>
      <c r="D413" s="26" t="s">
        <v>2042</v>
      </c>
      <c r="E413" s="26" t="s">
        <v>2043</v>
      </c>
      <c r="F413" s="26" t="s">
        <v>2044</v>
      </c>
      <c r="G413" s="26" t="s">
        <v>2045</v>
      </c>
      <c r="H413" s="27" t="s">
        <v>148</v>
      </c>
    </row>
    <row r="414">
      <c r="A414" s="24">
        <v>407.0</v>
      </c>
      <c r="B414" s="25" t="s">
        <v>1844</v>
      </c>
      <c r="C414" s="26" t="s">
        <v>2046</v>
      </c>
      <c r="D414" s="26" t="s">
        <v>1088</v>
      </c>
      <c r="E414" s="26" t="s">
        <v>292</v>
      </c>
      <c r="F414" s="26" t="s">
        <v>254</v>
      </c>
      <c r="G414" s="26" t="s">
        <v>2047</v>
      </c>
      <c r="H414" s="27" t="s">
        <v>154</v>
      </c>
    </row>
    <row r="415">
      <c r="A415" s="24">
        <v>408.0</v>
      </c>
      <c r="B415" s="25" t="s">
        <v>1844</v>
      </c>
      <c r="C415" s="26" t="s">
        <v>2049</v>
      </c>
      <c r="D415" s="26" t="s">
        <v>2050</v>
      </c>
      <c r="E415" s="26" t="s">
        <v>2051</v>
      </c>
      <c r="F415" s="26" t="s">
        <v>2052</v>
      </c>
      <c r="G415" s="26" t="s">
        <v>2053</v>
      </c>
      <c r="H415" s="27" t="s">
        <v>161</v>
      </c>
    </row>
    <row r="416">
      <c r="A416" s="24">
        <v>409.0</v>
      </c>
      <c r="B416" s="25" t="s">
        <v>1844</v>
      </c>
      <c r="C416" s="26" t="s">
        <v>2054</v>
      </c>
      <c r="D416" s="26" t="s">
        <v>2052</v>
      </c>
      <c r="E416" s="26" t="s">
        <v>2053</v>
      </c>
      <c r="F416" s="26" t="s">
        <v>2051</v>
      </c>
      <c r="G416" s="26" t="s">
        <v>2050</v>
      </c>
      <c r="H416" s="27" t="s">
        <v>154</v>
      </c>
    </row>
    <row r="417">
      <c r="A417" s="24">
        <v>410.0</v>
      </c>
      <c r="B417" s="25" t="s">
        <v>1844</v>
      </c>
      <c r="C417" s="26" t="s">
        <v>2056</v>
      </c>
      <c r="D417" s="26" t="s">
        <v>2057</v>
      </c>
      <c r="E417" s="26" t="s">
        <v>2058</v>
      </c>
      <c r="F417" s="26" t="s">
        <v>2059</v>
      </c>
      <c r="G417" s="26" t="s">
        <v>2060</v>
      </c>
      <c r="H417" s="27" t="s">
        <v>173</v>
      </c>
    </row>
    <row r="418">
      <c r="A418" s="24">
        <v>411.0</v>
      </c>
      <c r="B418" s="25" t="s">
        <v>1844</v>
      </c>
      <c r="C418" s="26" t="s">
        <v>2061</v>
      </c>
      <c r="D418" s="26" t="s">
        <v>2062</v>
      </c>
      <c r="E418" s="26" t="s">
        <v>2064</v>
      </c>
      <c r="F418" s="26" t="s">
        <v>2065</v>
      </c>
      <c r="G418" s="26" t="s">
        <v>2066</v>
      </c>
      <c r="H418" s="27" t="s">
        <v>173</v>
      </c>
    </row>
    <row r="419">
      <c r="A419" s="24">
        <v>412.0</v>
      </c>
      <c r="B419" s="25" t="s">
        <v>1844</v>
      </c>
      <c r="C419" s="26" t="s">
        <v>2067</v>
      </c>
      <c r="D419" s="26" t="s">
        <v>2068</v>
      </c>
      <c r="E419" s="26" t="s">
        <v>2069</v>
      </c>
      <c r="F419" s="26" t="s">
        <v>2070</v>
      </c>
      <c r="G419" s="26" t="s">
        <v>2071</v>
      </c>
      <c r="H419" s="27" t="s">
        <v>161</v>
      </c>
    </row>
    <row r="420">
      <c r="A420" s="24">
        <v>413.0</v>
      </c>
      <c r="B420" s="25" t="s">
        <v>1844</v>
      </c>
      <c r="C420" s="26" t="s">
        <v>2072</v>
      </c>
      <c r="D420" s="26" t="s">
        <v>2073</v>
      </c>
      <c r="E420" s="26" t="s">
        <v>2074</v>
      </c>
      <c r="F420" s="26" t="s">
        <v>2075</v>
      </c>
      <c r="G420" s="26" t="s">
        <v>2076</v>
      </c>
      <c r="H420" s="27" t="s">
        <v>173</v>
      </c>
    </row>
    <row r="421">
      <c r="A421" s="24">
        <v>414.0</v>
      </c>
      <c r="B421" s="25" t="s">
        <v>1844</v>
      </c>
      <c r="C421" s="26" t="s">
        <v>2077</v>
      </c>
      <c r="D421" s="26" t="s">
        <v>2078</v>
      </c>
      <c r="E421" s="26" t="s">
        <v>2079</v>
      </c>
      <c r="F421" s="26" t="s">
        <v>2080</v>
      </c>
      <c r="G421" s="26" t="s">
        <v>2081</v>
      </c>
      <c r="H421" s="27" t="s">
        <v>148</v>
      </c>
    </row>
    <row r="422" ht="24.0" customHeight="1">
      <c r="A422" s="24">
        <v>415.0</v>
      </c>
      <c r="B422" s="28" t="s">
        <v>1844</v>
      </c>
      <c r="C422" s="29" t="s">
        <v>2082</v>
      </c>
      <c r="D422" s="29" t="s">
        <v>2083</v>
      </c>
      <c r="E422" s="29" t="s">
        <v>2084</v>
      </c>
      <c r="F422" s="29" t="s">
        <v>2085</v>
      </c>
      <c r="G422" s="29" t="s">
        <v>2086</v>
      </c>
      <c r="H422" s="30" t="s">
        <v>154</v>
      </c>
    </row>
    <row r="423">
      <c r="A423" s="24">
        <v>416.0</v>
      </c>
      <c r="B423" s="25" t="s">
        <v>1844</v>
      </c>
      <c r="C423" s="26" t="s">
        <v>2087</v>
      </c>
      <c r="D423" s="33" t="s">
        <v>2088</v>
      </c>
      <c r="E423" s="26" t="s">
        <v>1447</v>
      </c>
      <c r="F423" s="26"/>
      <c r="G423" s="26" t="s">
        <v>1105</v>
      </c>
      <c r="H423" s="27" t="s">
        <v>173</v>
      </c>
    </row>
    <row r="424">
      <c r="A424" s="24">
        <v>417.0</v>
      </c>
      <c r="B424" s="25" t="s">
        <v>1844</v>
      </c>
      <c r="C424" s="26" t="s">
        <v>2089</v>
      </c>
      <c r="D424" s="26" t="s">
        <v>2090</v>
      </c>
      <c r="E424" s="26" t="s">
        <v>2091</v>
      </c>
      <c r="F424" s="26" t="s">
        <v>2092</v>
      </c>
      <c r="G424" s="26" t="s">
        <v>2093</v>
      </c>
      <c r="H424" s="27" t="s">
        <v>161</v>
      </c>
    </row>
    <row r="425">
      <c r="A425" s="24">
        <v>418.0</v>
      </c>
      <c r="B425" s="25" t="s">
        <v>1844</v>
      </c>
      <c r="C425" s="26" t="s">
        <v>2095</v>
      </c>
      <c r="D425" s="26" t="s">
        <v>2096</v>
      </c>
      <c r="E425" s="26" t="s">
        <v>2097</v>
      </c>
      <c r="F425" s="26" t="s">
        <v>2098</v>
      </c>
      <c r="G425" s="26" t="s">
        <v>2099</v>
      </c>
      <c r="H425" s="27" t="s">
        <v>161</v>
      </c>
    </row>
    <row r="426">
      <c r="A426" s="24">
        <v>419.0</v>
      </c>
      <c r="B426" s="25" t="s">
        <v>1844</v>
      </c>
      <c r="C426" s="26" t="s">
        <v>2101</v>
      </c>
      <c r="D426" s="26" t="s">
        <v>2102</v>
      </c>
      <c r="E426" s="26" t="s">
        <v>1856</v>
      </c>
      <c r="F426" s="26" t="s">
        <v>2103</v>
      </c>
      <c r="G426" s="26" t="s">
        <v>2105</v>
      </c>
      <c r="H426" s="27" t="s">
        <v>148</v>
      </c>
    </row>
    <row r="427">
      <c r="A427" s="24">
        <v>420.0</v>
      </c>
      <c r="B427" s="25" t="s">
        <v>1844</v>
      </c>
      <c r="C427" s="26" t="s">
        <v>2106</v>
      </c>
      <c r="D427" s="26" t="s">
        <v>1856</v>
      </c>
      <c r="E427" s="26" t="s">
        <v>2107</v>
      </c>
      <c r="F427" s="26" t="s">
        <v>2105</v>
      </c>
      <c r="G427" s="26" t="s">
        <v>2103</v>
      </c>
      <c r="H427" s="27" t="s">
        <v>148</v>
      </c>
    </row>
    <row r="428">
      <c r="A428" s="24">
        <v>421.0</v>
      </c>
      <c r="B428" s="25" t="s">
        <v>1844</v>
      </c>
      <c r="C428" s="26" t="s">
        <v>2109</v>
      </c>
      <c r="D428" s="26" t="s">
        <v>2110</v>
      </c>
      <c r="E428" s="26" t="s">
        <v>2111</v>
      </c>
      <c r="F428" s="26" t="s">
        <v>2112</v>
      </c>
      <c r="G428" s="26" t="s">
        <v>2113</v>
      </c>
      <c r="H428" s="27" t="s">
        <v>154</v>
      </c>
    </row>
    <row r="429">
      <c r="A429" s="24">
        <v>422.0</v>
      </c>
      <c r="B429" s="25" t="s">
        <v>1844</v>
      </c>
      <c r="C429" s="26" t="s">
        <v>2114</v>
      </c>
      <c r="D429" s="26" t="s">
        <v>2116</v>
      </c>
      <c r="E429" s="26" t="s">
        <v>2117</v>
      </c>
      <c r="F429" s="26" t="s">
        <v>2118</v>
      </c>
      <c r="G429" s="26" t="s">
        <v>2119</v>
      </c>
      <c r="H429" s="27" t="s">
        <v>148</v>
      </c>
    </row>
    <row r="430">
      <c r="A430" s="24">
        <v>423.0</v>
      </c>
      <c r="B430" s="25" t="s">
        <v>1844</v>
      </c>
      <c r="C430" s="26" t="s">
        <v>2121</v>
      </c>
      <c r="D430" s="26" t="s">
        <v>2122</v>
      </c>
      <c r="E430" s="26" t="s">
        <v>2123</v>
      </c>
      <c r="F430" s="26" t="s">
        <v>2124</v>
      </c>
      <c r="G430" s="26" t="s">
        <v>2125</v>
      </c>
      <c r="H430" s="27" t="s">
        <v>154</v>
      </c>
    </row>
    <row r="431">
      <c r="A431" s="24">
        <v>424.0</v>
      </c>
      <c r="B431" s="25" t="s">
        <v>1844</v>
      </c>
      <c r="C431" s="26" t="s">
        <v>2127</v>
      </c>
      <c r="D431" s="26" t="s">
        <v>2128</v>
      </c>
      <c r="E431" s="26" t="s">
        <v>2129</v>
      </c>
      <c r="F431" s="26" t="s">
        <v>2130</v>
      </c>
      <c r="G431" s="26" t="s">
        <v>2131</v>
      </c>
      <c r="H431" s="27" t="s">
        <v>173</v>
      </c>
    </row>
    <row r="432">
      <c r="A432" s="24">
        <v>425.0</v>
      </c>
      <c r="B432" s="25" t="s">
        <v>1844</v>
      </c>
      <c r="C432" s="26" t="s">
        <v>2132</v>
      </c>
      <c r="D432" s="26" t="s">
        <v>2133</v>
      </c>
      <c r="E432" s="26" t="s">
        <v>5</v>
      </c>
      <c r="F432" s="26" t="s">
        <v>2134</v>
      </c>
      <c r="G432" s="26" t="s">
        <v>2135</v>
      </c>
      <c r="H432" s="27" t="s">
        <v>148</v>
      </c>
    </row>
    <row r="433">
      <c r="A433" s="24">
        <v>426.0</v>
      </c>
      <c r="B433" s="25" t="s">
        <v>1844</v>
      </c>
      <c r="C433" s="26" t="s">
        <v>2136</v>
      </c>
      <c r="D433" s="26" t="s">
        <v>2137</v>
      </c>
      <c r="E433" s="26" t="s">
        <v>2138</v>
      </c>
      <c r="F433" s="26" t="s">
        <v>2139</v>
      </c>
      <c r="G433" s="26" t="s">
        <v>2140</v>
      </c>
      <c r="H433" s="27" t="s">
        <v>161</v>
      </c>
    </row>
    <row r="434">
      <c r="A434" s="24">
        <v>427.0</v>
      </c>
      <c r="B434" s="25" t="s">
        <v>1844</v>
      </c>
      <c r="C434" s="26" t="s">
        <v>2141</v>
      </c>
      <c r="D434" s="26">
        <v>3.0</v>
      </c>
      <c r="E434" s="26">
        <v>4.0</v>
      </c>
      <c r="F434" s="26">
        <v>5.0</v>
      </c>
      <c r="G434" s="26">
        <v>6.0</v>
      </c>
      <c r="H434" s="27" t="s">
        <v>148</v>
      </c>
    </row>
    <row r="435">
      <c r="A435" s="24">
        <v>428.0</v>
      </c>
      <c r="B435" s="25" t="s">
        <v>1844</v>
      </c>
      <c r="C435" s="26" t="s">
        <v>2142</v>
      </c>
      <c r="D435" s="26" t="b">
        <v>1</v>
      </c>
      <c r="E435" s="26" t="b">
        <v>0</v>
      </c>
      <c r="F435" s="26"/>
      <c r="G435" s="26"/>
      <c r="H435" s="27" t="s">
        <v>161</v>
      </c>
    </row>
    <row r="436">
      <c r="A436" s="24">
        <v>429.0</v>
      </c>
      <c r="B436" s="25" t="s">
        <v>1844</v>
      </c>
      <c r="C436" s="26" t="s">
        <v>2144</v>
      </c>
      <c r="D436" s="26" t="s">
        <v>2145</v>
      </c>
      <c r="E436" s="26" t="s">
        <v>2146</v>
      </c>
      <c r="F436" s="26" t="s">
        <v>2147</v>
      </c>
      <c r="G436" s="26" t="s">
        <v>2148</v>
      </c>
      <c r="H436" s="27" t="s">
        <v>173</v>
      </c>
    </row>
    <row r="437">
      <c r="A437" s="24">
        <v>430.0</v>
      </c>
      <c r="B437" s="25" t="s">
        <v>1844</v>
      </c>
      <c r="C437" s="26" t="s">
        <v>2149</v>
      </c>
      <c r="D437" s="26" t="s">
        <v>2150</v>
      </c>
      <c r="E437" s="26" t="s">
        <v>712</v>
      </c>
      <c r="F437" s="26" t="s">
        <v>2018</v>
      </c>
      <c r="G437" s="26" t="s">
        <v>2151</v>
      </c>
      <c r="H437" s="27" t="s">
        <v>173</v>
      </c>
    </row>
    <row r="438">
      <c r="A438" s="21" t="s">
        <v>2152</v>
      </c>
      <c r="B438" s="22"/>
      <c r="C438" s="22"/>
      <c r="D438" s="22"/>
      <c r="E438" s="22"/>
      <c r="F438" s="22"/>
      <c r="G438" s="22"/>
      <c r="H438" s="23"/>
    </row>
    <row r="439">
      <c r="A439" s="24">
        <v>431.0</v>
      </c>
      <c r="B439" s="25" t="s">
        <v>2153</v>
      </c>
      <c r="C439" s="26" t="s">
        <v>2154</v>
      </c>
      <c r="D439" s="26" t="s">
        <v>2155</v>
      </c>
      <c r="E439" s="26" t="s">
        <v>2156</v>
      </c>
      <c r="F439" s="26" t="s">
        <v>2157</v>
      </c>
      <c r="G439" s="26" t="s">
        <v>2158</v>
      </c>
      <c r="H439" s="27" t="s">
        <v>173</v>
      </c>
    </row>
    <row r="440">
      <c r="A440" s="24">
        <v>432.0</v>
      </c>
      <c r="B440" s="25" t="s">
        <v>2153</v>
      </c>
      <c r="C440" s="26" t="s">
        <v>2159</v>
      </c>
      <c r="D440" s="26" t="s">
        <v>2160</v>
      </c>
      <c r="E440" s="26" t="s">
        <v>2162</v>
      </c>
      <c r="F440" s="26" t="s">
        <v>2163</v>
      </c>
      <c r="G440" s="26" t="s">
        <v>2164</v>
      </c>
      <c r="H440" s="27" t="s">
        <v>161</v>
      </c>
    </row>
    <row r="441">
      <c r="A441" s="24">
        <v>433.0</v>
      </c>
      <c r="B441" s="25" t="s">
        <v>2153</v>
      </c>
      <c r="C441" s="26" t="s">
        <v>2165</v>
      </c>
      <c r="D441" s="26" t="s">
        <v>2166</v>
      </c>
      <c r="E441" s="26" t="s">
        <v>2167</v>
      </c>
      <c r="F441" s="26" t="s">
        <v>2168</v>
      </c>
      <c r="G441" s="26" t="s">
        <v>2169</v>
      </c>
      <c r="H441" s="27" t="s">
        <v>161</v>
      </c>
    </row>
    <row r="442">
      <c r="A442" s="24">
        <v>434.0</v>
      </c>
      <c r="B442" s="25" t="s">
        <v>2153</v>
      </c>
      <c r="C442" s="26" t="s">
        <v>2170</v>
      </c>
      <c r="D442" s="26" t="s">
        <v>2171</v>
      </c>
      <c r="E442" s="26" t="s">
        <v>438</v>
      </c>
      <c r="F442" s="26" t="s">
        <v>1102</v>
      </c>
      <c r="G442" s="26" t="s">
        <v>621</v>
      </c>
      <c r="H442" s="27" t="s">
        <v>154</v>
      </c>
    </row>
    <row r="443">
      <c r="A443" s="24">
        <v>435.0</v>
      </c>
      <c r="B443" s="25" t="s">
        <v>2153</v>
      </c>
      <c r="C443" s="26" t="s">
        <v>2172</v>
      </c>
      <c r="D443" s="26" t="s">
        <v>2173</v>
      </c>
      <c r="E443" s="26" t="s">
        <v>2174</v>
      </c>
      <c r="F443" s="26" t="s">
        <v>2175</v>
      </c>
      <c r="G443" s="26" t="s">
        <v>2176</v>
      </c>
      <c r="H443" s="27" t="s">
        <v>161</v>
      </c>
    </row>
    <row r="444">
      <c r="A444" s="24">
        <v>436.0</v>
      </c>
      <c r="B444" s="25" t="s">
        <v>2153</v>
      </c>
      <c r="C444" s="26" t="s">
        <v>2177</v>
      </c>
      <c r="D444" s="26" t="s">
        <v>2178</v>
      </c>
      <c r="E444" s="26" t="s">
        <v>2179</v>
      </c>
      <c r="F444" s="26" t="s">
        <v>2180</v>
      </c>
      <c r="G444" s="26" t="s">
        <v>2181</v>
      </c>
      <c r="H444" s="27" t="s">
        <v>148</v>
      </c>
    </row>
    <row r="445">
      <c r="A445" s="24">
        <v>437.0</v>
      </c>
      <c r="B445" s="25" t="s">
        <v>2153</v>
      </c>
      <c r="C445" s="26" t="s">
        <v>2182</v>
      </c>
      <c r="D445" s="26" t="s">
        <v>2183</v>
      </c>
      <c r="E445" s="26" t="s">
        <v>2184</v>
      </c>
      <c r="F445" s="26" t="s">
        <v>2185</v>
      </c>
      <c r="G445" s="26" t="s">
        <v>2186</v>
      </c>
      <c r="H445" s="27" t="s">
        <v>173</v>
      </c>
    </row>
    <row r="446">
      <c r="A446" s="24">
        <v>438.0</v>
      </c>
      <c r="B446" s="25" t="s">
        <v>2153</v>
      </c>
      <c r="C446" s="26" t="s">
        <v>2187</v>
      </c>
      <c r="D446" s="26" t="s">
        <v>2188</v>
      </c>
      <c r="E446" s="26" t="s">
        <v>2189</v>
      </c>
      <c r="F446" s="26" t="s">
        <v>2190</v>
      </c>
      <c r="G446" s="26" t="s">
        <v>2191</v>
      </c>
      <c r="H446" s="27" t="s">
        <v>161</v>
      </c>
    </row>
    <row r="447">
      <c r="A447" s="24">
        <v>439.0</v>
      </c>
      <c r="B447" s="25" t="s">
        <v>2153</v>
      </c>
      <c r="C447" s="26" t="s">
        <v>2192</v>
      </c>
      <c r="D447" s="26" t="s">
        <v>524</v>
      </c>
      <c r="E447" s="26" t="s">
        <v>2193</v>
      </c>
      <c r="F447" s="26" t="s">
        <v>1418</v>
      </c>
      <c r="G447" s="26" t="s">
        <v>1458</v>
      </c>
      <c r="H447" s="27" t="s">
        <v>173</v>
      </c>
    </row>
    <row r="448">
      <c r="A448" s="24">
        <v>440.0</v>
      </c>
      <c r="B448" s="25" t="s">
        <v>2153</v>
      </c>
      <c r="C448" s="26" t="s">
        <v>2194</v>
      </c>
      <c r="D448" s="26">
        <v>20.0</v>
      </c>
      <c r="E448" s="26">
        <v>50.0</v>
      </c>
      <c r="F448" s="26">
        <v>10.0</v>
      </c>
      <c r="G448" s="26">
        <v>200.0</v>
      </c>
      <c r="H448" s="27" t="s">
        <v>148</v>
      </c>
    </row>
    <row r="449">
      <c r="A449" s="24">
        <v>441.0</v>
      </c>
      <c r="B449" s="25" t="s">
        <v>2153</v>
      </c>
      <c r="C449" s="26" t="s">
        <v>2195</v>
      </c>
      <c r="D449" s="26" t="s">
        <v>389</v>
      </c>
      <c r="E449" s="26" t="s">
        <v>2196</v>
      </c>
      <c r="F449" s="26" t="s">
        <v>2197</v>
      </c>
      <c r="G449" s="26" t="s">
        <v>2198</v>
      </c>
      <c r="H449" s="27" t="s">
        <v>154</v>
      </c>
    </row>
    <row r="450">
      <c r="A450" s="24">
        <v>442.0</v>
      </c>
      <c r="B450" s="25" t="s">
        <v>2153</v>
      </c>
      <c r="C450" s="26" t="s">
        <v>2199</v>
      </c>
      <c r="D450" s="26" t="s">
        <v>2200</v>
      </c>
      <c r="E450" s="26" t="s">
        <v>2201</v>
      </c>
      <c r="F450" s="26" t="s">
        <v>2202</v>
      </c>
      <c r="G450" s="26" t="s">
        <v>2203</v>
      </c>
      <c r="H450" s="27" t="s">
        <v>148</v>
      </c>
    </row>
    <row r="451">
      <c r="A451" s="24">
        <v>443.0</v>
      </c>
      <c r="B451" s="25" t="s">
        <v>2153</v>
      </c>
      <c r="C451" s="26" t="s">
        <v>2204</v>
      </c>
      <c r="D451" s="26" t="s">
        <v>2205</v>
      </c>
      <c r="E451" s="26" t="s">
        <v>2206</v>
      </c>
      <c r="F451" s="26" t="s">
        <v>2207</v>
      </c>
      <c r="G451" s="26" t="s">
        <v>2208</v>
      </c>
      <c r="H451" s="27" t="s">
        <v>154</v>
      </c>
    </row>
    <row r="452">
      <c r="A452" s="24">
        <v>444.0</v>
      </c>
      <c r="B452" s="25" t="s">
        <v>2153</v>
      </c>
      <c r="C452" s="26" t="s">
        <v>2209</v>
      </c>
      <c r="D452" s="26" t="s">
        <v>2210</v>
      </c>
      <c r="E452" s="26" t="s">
        <v>2211</v>
      </c>
      <c r="F452" s="26" t="s">
        <v>2212</v>
      </c>
      <c r="G452" s="26" t="s">
        <v>2213</v>
      </c>
      <c r="H452" s="27" t="s">
        <v>148</v>
      </c>
    </row>
    <row r="453">
      <c r="A453" s="24">
        <v>445.0</v>
      </c>
      <c r="B453" s="25" t="s">
        <v>2153</v>
      </c>
      <c r="C453" s="26" t="s">
        <v>2215</v>
      </c>
      <c r="D453" s="26" t="s">
        <v>2216</v>
      </c>
      <c r="E453" s="26" t="s">
        <v>2217</v>
      </c>
      <c r="F453" s="26" t="s">
        <v>2218</v>
      </c>
      <c r="G453" s="26" t="s">
        <v>2219</v>
      </c>
      <c r="H453" s="27" t="s">
        <v>154</v>
      </c>
    </row>
    <row r="454">
      <c r="A454" s="24">
        <v>446.0</v>
      </c>
      <c r="B454" s="25" t="s">
        <v>2153</v>
      </c>
      <c r="C454" s="26" t="s">
        <v>2220</v>
      </c>
      <c r="D454" s="26" t="s">
        <v>2221</v>
      </c>
      <c r="E454" s="26" t="s">
        <v>2222</v>
      </c>
      <c r="F454" s="26" t="s">
        <v>2223</v>
      </c>
      <c r="G454" s="26" t="s">
        <v>2224</v>
      </c>
      <c r="H454" s="27" t="s">
        <v>173</v>
      </c>
    </row>
    <row r="455">
      <c r="A455" s="24">
        <v>447.0</v>
      </c>
      <c r="B455" s="25" t="s">
        <v>2153</v>
      </c>
      <c r="C455" s="26" t="s">
        <v>2225</v>
      </c>
      <c r="D455" s="26" t="s">
        <v>2226</v>
      </c>
      <c r="E455" s="26" t="s">
        <v>2227</v>
      </c>
      <c r="F455" s="26" t="s">
        <v>2228</v>
      </c>
      <c r="G455" s="26" t="s">
        <v>2229</v>
      </c>
      <c r="H455" s="27" t="s">
        <v>161</v>
      </c>
    </row>
    <row r="456">
      <c r="A456" s="24">
        <v>448.0</v>
      </c>
      <c r="B456" s="25" t="s">
        <v>2153</v>
      </c>
      <c r="C456" s="26" t="s">
        <v>2230</v>
      </c>
      <c r="D456" s="26" t="s">
        <v>2231</v>
      </c>
      <c r="E456" s="26" t="s">
        <v>2232</v>
      </c>
      <c r="F456" s="26" t="s">
        <v>2233</v>
      </c>
      <c r="G456" s="26" t="s">
        <v>2234</v>
      </c>
      <c r="H456" s="27" t="s">
        <v>161</v>
      </c>
    </row>
    <row r="457">
      <c r="A457" s="24">
        <v>449.0</v>
      </c>
      <c r="B457" s="25" t="s">
        <v>2153</v>
      </c>
      <c r="C457" s="26" t="s">
        <v>2235</v>
      </c>
      <c r="D457" s="26" t="s">
        <v>2236</v>
      </c>
      <c r="E457" s="26" t="s">
        <v>2237</v>
      </c>
      <c r="F457" s="26" t="s">
        <v>2238</v>
      </c>
      <c r="G457" s="26" t="s">
        <v>2239</v>
      </c>
      <c r="H457" s="27" t="s">
        <v>173</v>
      </c>
    </row>
    <row r="458">
      <c r="A458" s="24">
        <v>450.0</v>
      </c>
      <c r="B458" s="25" t="s">
        <v>2153</v>
      </c>
      <c r="C458" s="26" t="s">
        <v>2240</v>
      </c>
      <c r="D458" s="26" t="s">
        <v>2241</v>
      </c>
      <c r="E458" s="26" t="s">
        <v>2242</v>
      </c>
      <c r="F458" s="26" t="s">
        <v>2243</v>
      </c>
      <c r="G458" s="26" t="s">
        <v>2244</v>
      </c>
      <c r="H458" s="27" t="s">
        <v>173</v>
      </c>
    </row>
    <row r="459">
      <c r="A459" s="24">
        <v>451.0</v>
      </c>
      <c r="B459" s="25" t="s">
        <v>2153</v>
      </c>
      <c r="C459" s="26" t="s">
        <v>2245</v>
      </c>
      <c r="D459" s="26" t="s">
        <v>2205</v>
      </c>
      <c r="E459" s="26" t="s">
        <v>2206</v>
      </c>
      <c r="F459" s="26" t="s">
        <v>2207</v>
      </c>
      <c r="G459" s="26" t="s">
        <v>2208</v>
      </c>
      <c r="H459" s="27" t="s">
        <v>148</v>
      </c>
    </row>
    <row r="460">
      <c r="A460" s="24">
        <v>452.0</v>
      </c>
      <c r="B460" s="25" t="s">
        <v>2153</v>
      </c>
      <c r="C460" s="26" t="s">
        <v>2246</v>
      </c>
      <c r="D460" s="26" t="s">
        <v>2247</v>
      </c>
      <c r="E460" s="26" t="s">
        <v>2248</v>
      </c>
      <c r="F460" s="26" t="s">
        <v>2249</v>
      </c>
      <c r="G460" s="26" t="s">
        <v>2250</v>
      </c>
      <c r="H460" s="27" t="s">
        <v>173</v>
      </c>
    </row>
    <row r="461">
      <c r="A461" s="24">
        <v>453.0</v>
      </c>
      <c r="B461" s="25" t="s">
        <v>2153</v>
      </c>
      <c r="C461" s="26" t="s">
        <v>2251</v>
      </c>
      <c r="D461" s="26" t="s">
        <v>2252</v>
      </c>
      <c r="E461" s="26" t="s">
        <v>2253</v>
      </c>
      <c r="F461" s="26" t="s">
        <v>2254</v>
      </c>
      <c r="G461" s="26" t="s">
        <v>2255</v>
      </c>
      <c r="H461" s="27" t="s">
        <v>154</v>
      </c>
    </row>
    <row r="462">
      <c r="A462" s="24">
        <v>454.0</v>
      </c>
      <c r="B462" s="25" t="s">
        <v>2153</v>
      </c>
      <c r="C462" s="26" t="s">
        <v>2256</v>
      </c>
      <c r="D462" s="26" t="s">
        <v>2257</v>
      </c>
      <c r="E462" s="26" t="s">
        <v>2258</v>
      </c>
      <c r="F462" s="26" t="s">
        <v>2259</v>
      </c>
      <c r="G462" s="26" t="s">
        <v>1474</v>
      </c>
      <c r="H462" s="27" t="s">
        <v>148</v>
      </c>
    </row>
    <row r="463">
      <c r="A463" s="24">
        <v>455.0</v>
      </c>
      <c r="B463" s="25" t="s">
        <v>2153</v>
      </c>
      <c r="C463" s="26" t="s">
        <v>2260</v>
      </c>
      <c r="D463" s="26" t="s">
        <v>2261</v>
      </c>
      <c r="E463" s="26" t="s">
        <v>2262</v>
      </c>
      <c r="F463" s="26" t="s">
        <v>2263</v>
      </c>
      <c r="G463" s="26" t="s">
        <v>2264</v>
      </c>
      <c r="H463" s="27" t="s">
        <v>148</v>
      </c>
    </row>
    <row r="464">
      <c r="A464" s="24">
        <v>456.0</v>
      </c>
      <c r="B464" s="25" t="s">
        <v>2153</v>
      </c>
      <c r="C464" s="26" t="s">
        <v>2265</v>
      </c>
      <c r="D464" s="26" t="s">
        <v>2267</v>
      </c>
      <c r="E464" s="26" t="s">
        <v>2268</v>
      </c>
      <c r="F464" s="26" t="s">
        <v>2269</v>
      </c>
      <c r="G464" s="26" t="s">
        <v>2270</v>
      </c>
      <c r="H464" s="27" t="s">
        <v>148</v>
      </c>
    </row>
    <row r="465">
      <c r="A465" s="24">
        <v>457.0</v>
      </c>
      <c r="B465" s="25" t="s">
        <v>2153</v>
      </c>
      <c r="C465" s="26" t="s">
        <v>2271</v>
      </c>
      <c r="D465" s="26" t="s">
        <v>2272</v>
      </c>
      <c r="E465" s="26" t="s">
        <v>2273</v>
      </c>
      <c r="F465" s="26" t="s">
        <v>2274</v>
      </c>
      <c r="G465" s="26" t="s">
        <v>2275</v>
      </c>
      <c r="H465" s="27" t="s">
        <v>161</v>
      </c>
    </row>
    <row r="466">
      <c r="A466" s="24">
        <v>458.0</v>
      </c>
      <c r="B466" s="25" t="s">
        <v>2153</v>
      </c>
      <c r="C466" s="26" t="s">
        <v>2276</v>
      </c>
      <c r="D466" s="26" t="s">
        <v>2277</v>
      </c>
      <c r="E466" s="26" t="s">
        <v>2278</v>
      </c>
      <c r="F466" s="26" t="s">
        <v>2279</v>
      </c>
      <c r="G466" s="26" t="s">
        <v>1474</v>
      </c>
      <c r="H466" s="27" t="s">
        <v>148</v>
      </c>
    </row>
    <row r="467">
      <c r="A467" s="24">
        <v>459.0</v>
      </c>
      <c r="B467" s="25" t="s">
        <v>2153</v>
      </c>
      <c r="C467" s="26" t="s">
        <v>2280</v>
      </c>
      <c r="D467" s="26" t="s">
        <v>2281</v>
      </c>
      <c r="E467" s="26" t="s">
        <v>2282</v>
      </c>
      <c r="F467" s="26" t="s">
        <v>2283</v>
      </c>
      <c r="G467" s="26" t="s">
        <v>2284</v>
      </c>
      <c r="H467" s="27" t="s">
        <v>173</v>
      </c>
    </row>
    <row r="468">
      <c r="A468" s="24">
        <v>460.0</v>
      </c>
      <c r="B468" s="25" t="s">
        <v>2153</v>
      </c>
      <c r="C468" s="26" t="s">
        <v>2285</v>
      </c>
      <c r="D468" s="26" t="s">
        <v>2259</v>
      </c>
      <c r="E468" s="26" t="s">
        <v>2286</v>
      </c>
      <c r="F468" s="26" t="s">
        <v>2277</v>
      </c>
      <c r="G468" s="26" t="s">
        <v>2257</v>
      </c>
      <c r="H468" s="27" t="s">
        <v>161</v>
      </c>
    </row>
    <row r="469">
      <c r="A469" s="24">
        <v>461.0</v>
      </c>
      <c r="B469" s="25" t="s">
        <v>2153</v>
      </c>
      <c r="C469" s="26" t="s">
        <v>2287</v>
      </c>
      <c r="D469" s="26" t="s">
        <v>2288</v>
      </c>
      <c r="E469" s="26" t="s">
        <v>2289</v>
      </c>
      <c r="F469" s="26" t="s">
        <v>2290</v>
      </c>
      <c r="G469" s="26" t="s">
        <v>2291</v>
      </c>
      <c r="H469" s="27" t="s">
        <v>161</v>
      </c>
    </row>
    <row r="470">
      <c r="A470" s="24">
        <v>462.0</v>
      </c>
      <c r="B470" s="25" t="s">
        <v>2153</v>
      </c>
      <c r="C470" s="26" t="s">
        <v>2292</v>
      </c>
      <c r="D470" s="26" t="s">
        <v>2293</v>
      </c>
      <c r="E470" s="26" t="s">
        <v>2294</v>
      </c>
      <c r="F470" s="26" t="s">
        <v>2295</v>
      </c>
      <c r="G470" s="26" t="s">
        <v>2296</v>
      </c>
      <c r="H470" s="27" t="s">
        <v>161</v>
      </c>
    </row>
    <row r="471">
      <c r="A471" s="24">
        <v>463.0</v>
      </c>
      <c r="B471" s="25" t="s">
        <v>2153</v>
      </c>
      <c r="C471" s="26" t="s">
        <v>2297</v>
      </c>
      <c r="D471" s="26">
        <v>2.0</v>
      </c>
      <c r="E471" s="26">
        <v>5.0</v>
      </c>
      <c r="F471" s="26">
        <v>10.0</v>
      </c>
      <c r="G471" s="26" t="s">
        <v>914</v>
      </c>
      <c r="H471" s="27" t="s">
        <v>148</v>
      </c>
    </row>
    <row r="472">
      <c r="A472" s="24">
        <v>464.0</v>
      </c>
      <c r="B472" s="25" t="s">
        <v>2153</v>
      </c>
      <c r="C472" s="26" t="s">
        <v>2299</v>
      </c>
      <c r="D472" s="26" t="s">
        <v>2300</v>
      </c>
      <c r="E472" s="26" t="s">
        <v>2268</v>
      </c>
      <c r="F472" s="26" t="s">
        <v>2301</v>
      </c>
      <c r="G472" s="26" t="s">
        <v>2302</v>
      </c>
      <c r="H472" s="27" t="s">
        <v>173</v>
      </c>
    </row>
    <row r="473">
      <c r="A473" s="24">
        <v>465.0</v>
      </c>
      <c r="B473" s="25" t="s">
        <v>2153</v>
      </c>
      <c r="C473" s="26" t="s">
        <v>2303</v>
      </c>
      <c r="D473" s="26" t="s">
        <v>2304</v>
      </c>
      <c r="E473" s="26" t="s">
        <v>2305</v>
      </c>
      <c r="F473" s="26" t="s">
        <v>2306</v>
      </c>
      <c r="G473" s="26" t="s">
        <v>2307</v>
      </c>
      <c r="H473" s="27" t="s">
        <v>161</v>
      </c>
    </row>
    <row r="474">
      <c r="A474" s="24">
        <v>466.0</v>
      </c>
      <c r="B474" s="25" t="s">
        <v>2153</v>
      </c>
      <c r="C474" s="26" t="s">
        <v>2308</v>
      </c>
      <c r="D474" s="26" t="s">
        <v>2257</v>
      </c>
      <c r="E474" s="26" t="s">
        <v>2258</v>
      </c>
      <c r="F474" s="26" t="s">
        <v>2259</v>
      </c>
      <c r="G474" s="26" t="s">
        <v>2310</v>
      </c>
      <c r="H474" s="27" t="s">
        <v>154</v>
      </c>
    </row>
    <row r="475">
      <c r="A475" s="24">
        <v>467.0</v>
      </c>
      <c r="B475" s="25" t="s">
        <v>2153</v>
      </c>
      <c r="C475" s="26" t="s">
        <v>2312</v>
      </c>
      <c r="D475" s="26" t="s">
        <v>2313</v>
      </c>
      <c r="E475" s="26" t="s">
        <v>2314</v>
      </c>
      <c r="F475" s="26" t="s">
        <v>2315</v>
      </c>
      <c r="G475" s="26" t="s">
        <v>2316</v>
      </c>
      <c r="H475" s="27" t="s">
        <v>154</v>
      </c>
    </row>
    <row r="476">
      <c r="A476" s="24">
        <v>468.0</v>
      </c>
      <c r="B476" s="25" t="s">
        <v>2153</v>
      </c>
      <c r="C476" s="26" t="s">
        <v>2317</v>
      </c>
      <c r="D476" s="26" t="s">
        <v>2318</v>
      </c>
      <c r="E476" s="26" t="s">
        <v>2319</v>
      </c>
      <c r="F476" s="26" t="s">
        <v>2313</v>
      </c>
      <c r="G476" s="26" t="s">
        <v>2320</v>
      </c>
      <c r="H476" s="27" t="s">
        <v>173</v>
      </c>
    </row>
    <row r="477">
      <c r="A477" s="24">
        <v>469.0</v>
      </c>
      <c r="B477" s="25" t="s">
        <v>2153</v>
      </c>
      <c r="C477" s="26" t="s">
        <v>2321</v>
      </c>
      <c r="D477" s="26" t="s">
        <v>2322</v>
      </c>
      <c r="E477" s="26" t="s">
        <v>2323</v>
      </c>
      <c r="F477" s="26" t="s">
        <v>2324</v>
      </c>
      <c r="G477" s="26" t="s">
        <v>2325</v>
      </c>
      <c r="H477" s="27" t="s">
        <v>154</v>
      </c>
    </row>
    <row r="478">
      <c r="A478" s="24">
        <v>470.0</v>
      </c>
      <c r="B478" s="25" t="s">
        <v>2153</v>
      </c>
      <c r="C478" s="26" t="s">
        <v>2326</v>
      </c>
      <c r="D478" s="26" t="s">
        <v>2327</v>
      </c>
      <c r="E478" s="26" t="s">
        <v>2328</v>
      </c>
      <c r="F478" s="26" t="s">
        <v>2254</v>
      </c>
      <c r="G478" s="26" t="s">
        <v>2330</v>
      </c>
      <c r="H478" s="27" t="s">
        <v>173</v>
      </c>
    </row>
    <row r="479">
      <c r="A479" s="24">
        <v>471.0</v>
      </c>
      <c r="B479" s="25" t="s">
        <v>2153</v>
      </c>
      <c r="C479" s="26" t="s">
        <v>2331</v>
      </c>
      <c r="D479" s="26" t="s">
        <v>2332</v>
      </c>
      <c r="E479" s="26" t="s">
        <v>2333</v>
      </c>
      <c r="F479" s="26" t="s">
        <v>2334</v>
      </c>
      <c r="G479" s="26" t="s">
        <v>2335</v>
      </c>
      <c r="H479" s="27" t="s">
        <v>173</v>
      </c>
    </row>
    <row r="480">
      <c r="A480" s="24">
        <v>472.0</v>
      </c>
      <c r="B480" s="25" t="s">
        <v>2153</v>
      </c>
      <c r="C480" s="26" t="s">
        <v>2336</v>
      </c>
      <c r="D480" s="26" t="s">
        <v>2270</v>
      </c>
      <c r="E480" s="26" t="s">
        <v>2302</v>
      </c>
      <c r="F480" s="26" t="s">
        <v>2322</v>
      </c>
      <c r="G480" s="26" t="s">
        <v>2337</v>
      </c>
      <c r="H480" s="27" t="s">
        <v>154</v>
      </c>
    </row>
    <row r="481">
      <c r="A481" s="24">
        <v>473.0</v>
      </c>
      <c r="B481" s="25" t="s">
        <v>2153</v>
      </c>
      <c r="C481" s="26" t="s">
        <v>2338</v>
      </c>
      <c r="D481" s="26" t="s">
        <v>2339</v>
      </c>
      <c r="E481" s="26" t="s">
        <v>2340</v>
      </c>
      <c r="F481" s="26" t="s">
        <v>2341</v>
      </c>
      <c r="G481" s="26" t="s">
        <v>2342</v>
      </c>
      <c r="H481" s="27" t="s">
        <v>173</v>
      </c>
    </row>
    <row r="482">
      <c r="A482" s="24">
        <v>474.0</v>
      </c>
      <c r="B482" s="25" t="s">
        <v>2153</v>
      </c>
      <c r="C482" s="26" t="s">
        <v>2343</v>
      </c>
      <c r="D482" s="26" t="s">
        <v>2345</v>
      </c>
      <c r="E482" s="26" t="s">
        <v>2346</v>
      </c>
      <c r="F482" s="26" t="s">
        <v>2347</v>
      </c>
      <c r="G482" s="26" t="s">
        <v>2348</v>
      </c>
      <c r="H482" s="27" t="s">
        <v>173</v>
      </c>
    </row>
    <row r="483">
      <c r="A483" s="24">
        <v>475.0</v>
      </c>
      <c r="B483" s="25" t="s">
        <v>2153</v>
      </c>
      <c r="C483" s="26" t="s">
        <v>2350</v>
      </c>
      <c r="D483" s="26" t="s">
        <v>2351</v>
      </c>
      <c r="E483" s="26" t="s">
        <v>2352</v>
      </c>
      <c r="F483" s="26" t="s">
        <v>2353</v>
      </c>
      <c r="G483" s="26" t="s">
        <v>2354</v>
      </c>
      <c r="H483" s="27" t="s">
        <v>161</v>
      </c>
    </row>
    <row r="484">
      <c r="A484" s="24">
        <v>476.0</v>
      </c>
      <c r="B484" s="25" t="s">
        <v>2153</v>
      </c>
      <c r="C484" s="26" t="s">
        <v>2355</v>
      </c>
      <c r="D484" s="26" t="s">
        <v>2351</v>
      </c>
      <c r="E484" s="26" t="s">
        <v>2346</v>
      </c>
      <c r="F484" s="26" t="s">
        <v>2347</v>
      </c>
      <c r="G484" s="26" t="s">
        <v>2348</v>
      </c>
      <c r="H484" s="27" t="s">
        <v>173</v>
      </c>
    </row>
    <row r="485">
      <c r="A485" s="24">
        <v>477.0</v>
      </c>
      <c r="B485" s="25" t="s">
        <v>2153</v>
      </c>
      <c r="C485" s="26" t="s">
        <v>2356</v>
      </c>
      <c r="D485" s="26" t="s">
        <v>2351</v>
      </c>
      <c r="E485" s="26" t="s">
        <v>2346</v>
      </c>
      <c r="F485" s="26" t="s">
        <v>2347</v>
      </c>
      <c r="G485" s="26" t="s">
        <v>2348</v>
      </c>
      <c r="H485" s="27" t="s">
        <v>148</v>
      </c>
    </row>
    <row r="486">
      <c r="A486" s="24">
        <v>478.0</v>
      </c>
      <c r="B486" s="25" t="s">
        <v>2153</v>
      </c>
      <c r="C486" s="26" t="s">
        <v>2358</v>
      </c>
      <c r="D486" s="26" t="s">
        <v>2345</v>
      </c>
      <c r="E486" s="26" t="s">
        <v>2346</v>
      </c>
      <c r="F486" s="26" t="s">
        <v>2347</v>
      </c>
      <c r="G486" s="26" t="s">
        <v>2348</v>
      </c>
      <c r="H486" s="27" t="s">
        <v>154</v>
      </c>
    </row>
    <row r="487">
      <c r="A487" s="24">
        <v>479.0</v>
      </c>
      <c r="B487" s="25" t="s">
        <v>2153</v>
      </c>
      <c r="C487" s="26" t="s">
        <v>2359</v>
      </c>
      <c r="D487" s="26" t="s">
        <v>2342</v>
      </c>
      <c r="E487" s="26" t="s">
        <v>2360</v>
      </c>
      <c r="F487" s="26" t="s">
        <v>2361</v>
      </c>
      <c r="G487" s="26" t="s">
        <v>2362</v>
      </c>
      <c r="H487" s="27" t="s">
        <v>161</v>
      </c>
    </row>
    <row r="488">
      <c r="A488" s="24">
        <v>480.0</v>
      </c>
      <c r="B488" s="25" t="s">
        <v>2153</v>
      </c>
      <c r="C488" s="26" t="s">
        <v>2363</v>
      </c>
      <c r="D488" s="26" t="s">
        <v>2345</v>
      </c>
      <c r="E488" s="26" t="s">
        <v>2346</v>
      </c>
      <c r="F488" s="26" t="s">
        <v>2364</v>
      </c>
      <c r="G488" s="26" t="s">
        <v>2348</v>
      </c>
      <c r="H488" s="27" t="s">
        <v>148</v>
      </c>
    </row>
    <row r="489">
      <c r="A489" s="24">
        <v>481.0</v>
      </c>
      <c r="B489" s="25" t="s">
        <v>2153</v>
      </c>
      <c r="C489" s="26" t="s">
        <v>2365</v>
      </c>
      <c r="D489" s="26" t="s">
        <v>2366</v>
      </c>
      <c r="E489" s="26" t="s">
        <v>2367</v>
      </c>
      <c r="F489" s="26" t="s">
        <v>2368</v>
      </c>
      <c r="G489" s="26" t="s">
        <v>2369</v>
      </c>
      <c r="H489" s="27" t="s">
        <v>148</v>
      </c>
    </row>
    <row r="490">
      <c r="A490" s="24">
        <v>482.0</v>
      </c>
      <c r="B490" s="25" t="s">
        <v>2153</v>
      </c>
      <c r="C490" s="26" t="s">
        <v>2371</v>
      </c>
      <c r="D490" s="26" t="s">
        <v>426</v>
      </c>
      <c r="E490" s="26" t="s">
        <v>2372</v>
      </c>
      <c r="F490" s="26" t="s">
        <v>2373</v>
      </c>
      <c r="G490" s="26" t="s">
        <v>2374</v>
      </c>
      <c r="H490" s="27" t="s">
        <v>154</v>
      </c>
    </row>
    <row r="491">
      <c r="A491" s="24">
        <v>483.0</v>
      </c>
      <c r="B491" s="25" t="s">
        <v>2153</v>
      </c>
      <c r="C491" s="26" t="s">
        <v>2376</v>
      </c>
      <c r="D491" s="26" t="s">
        <v>2377</v>
      </c>
      <c r="E491" s="26" t="s">
        <v>2378</v>
      </c>
      <c r="F491" s="26" t="s">
        <v>2379</v>
      </c>
      <c r="G491" s="26" t="s">
        <v>2380</v>
      </c>
      <c r="H491" s="27" t="s">
        <v>161</v>
      </c>
    </row>
    <row r="492">
      <c r="A492" s="24">
        <v>484.0</v>
      </c>
      <c r="B492" s="25" t="s">
        <v>2153</v>
      </c>
      <c r="C492" s="26" t="s">
        <v>2381</v>
      </c>
      <c r="D492" s="26" t="s">
        <v>2190</v>
      </c>
      <c r="E492" s="26" t="s">
        <v>2382</v>
      </c>
      <c r="F492" s="26" t="s">
        <v>2383</v>
      </c>
      <c r="G492" s="26" t="s">
        <v>2384</v>
      </c>
      <c r="H492" s="27" t="s">
        <v>173</v>
      </c>
    </row>
    <row r="493">
      <c r="A493" s="24">
        <v>485.0</v>
      </c>
      <c r="B493" s="25" t="s">
        <v>2153</v>
      </c>
      <c r="C493" s="26" t="s">
        <v>2385</v>
      </c>
      <c r="D493" s="26" t="s">
        <v>2386</v>
      </c>
      <c r="E493" s="26" t="s">
        <v>2387</v>
      </c>
      <c r="F493" s="26" t="s">
        <v>2388</v>
      </c>
      <c r="G493" s="26" t="s">
        <v>2389</v>
      </c>
      <c r="H493" s="27" t="s">
        <v>173</v>
      </c>
    </row>
    <row r="494">
      <c r="A494" s="24">
        <v>486.0</v>
      </c>
      <c r="B494" s="25" t="s">
        <v>2153</v>
      </c>
      <c r="C494" s="26" t="s">
        <v>2390</v>
      </c>
      <c r="D494" s="26" t="s">
        <v>2391</v>
      </c>
      <c r="E494" s="26" t="s">
        <v>1458</v>
      </c>
      <c r="F494" s="26" t="s">
        <v>2392</v>
      </c>
      <c r="G494" s="26" t="s">
        <v>2277</v>
      </c>
      <c r="H494" s="27" t="s">
        <v>173</v>
      </c>
    </row>
    <row r="495">
      <c r="A495" s="24">
        <v>487.0</v>
      </c>
      <c r="B495" s="25" t="s">
        <v>2153</v>
      </c>
      <c r="C495" s="26" t="s">
        <v>2393</v>
      </c>
      <c r="D495" s="26" t="s">
        <v>2394</v>
      </c>
      <c r="E495" s="26" t="s">
        <v>2395</v>
      </c>
      <c r="F495" s="26" t="s">
        <v>2396</v>
      </c>
      <c r="G495" s="26" t="s">
        <v>2397</v>
      </c>
      <c r="H495" s="27" t="s">
        <v>173</v>
      </c>
    </row>
    <row r="496">
      <c r="A496" s="24">
        <v>488.0</v>
      </c>
      <c r="B496" s="25" t="s">
        <v>2153</v>
      </c>
      <c r="C496" s="26" t="s">
        <v>2398</v>
      </c>
      <c r="D496" s="26" t="s">
        <v>2399</v>
      </c>
      <c r="E496" s="26" t="s">
        <v>2400</v>
      </c>
      <c r="F496" s="26" t="s">
        <v>2401</v>
      </c>
      <c r="G496" s="26" t="s">
        <v>2402</v>
      </c>
      <c r="H496" s="27" t="s">
        <v>173</v>
      </c>
    </row>
    <row r="497">
      <c r="A497" s="24">
        <v>489.0</v>
      </c>
      <c r="B497" s="25" t="s">
        <v>2153</v>
      </c>
      <c r="C497" s="26" t="s">
        <v>2403</v>
      </c>
      <c r="D497" s="26" t="s">
        <v>2404</v>
      </c>
      <c r="E497" s="26" t="s">
        <v>2405</v>
      </c>
      <c r="F497" s="26" t="s">
        <v>2406</v>
      </c>
      <c r="G497" s="26" t="s">
        <v>2407</v>
      </c>
      <c r="H497" s="27" t="s">
        <v>148</v>
      </c>
    </row>
    <row r="498">
      <c r="A498" s="24">
        <v>490.0</v>
      </c>
      <c r="B498" s="25" t="s">
        <v>2153</v>
      </c>
      <c r="C498" s="26" t="s">
        <v>2408</v>
      </c>
      <c r="D498" s="26" t="s">
        <v>2409</v>
      </c>
      <c r="E498" s="26" t="s">
        <v>2410</v>
      </c>
      <c r="F498" s="26" t="s">
        <v>2411</v>
      </c>
      <c r="G498" s="26" t="s">
        <v>2412</v>
      </c>
      <c r="H498" s="27" t="s">
        <v>161</v>
      </c>
    </row>
    <row r="499">
      <c r="A499" s="24">
        <v>491.0</v>
      </c>
      <c r="B499" s="25" t="s">
        <v>2153</v>
      </c>
      <c r="C499" s="26" t="s">
        <v>2413</v>
      </c>
      <c r="D499" s="26" t="s">
        <v>2382</v>
      </c>
      <c r="E499" s="26" t="s">
        <v>2190</v>
      </c>
      <c r="F499" s="26" t="s">
        <v>2414</v>
      </c>
      <c r="G499" s="26" t="s">
        <v>2383</v>
      </c>
      <c r="H499" s="27" t="s">
        <v>161</v>
      </c>
    </row>
    <row r="500">
      <c r="A500" s="24">
        <v>492.0</v>
      </c>
      <c r="B500" s="25" t="s">
        <v>2153</v>
      </c>
      <c r="C500" s="26" t="s">
        <v>2416</v>
      </c>
      <c r="D500" s="26" t="s">
        <v>2384</v>
      </c>
      <c r="E500" s="26" t="s">
        <v>2417</v>
      </c>
      <c r="F500" s="26" t="s">
        <v>2418</v>
      </c>
      <c r="G500" s="26" t="s">
        <v>2419</v>
      </c>
      <c r="H500" s="27" t="s">
        <v>154</v>
      </c>
    </row>
    <row r="501">
      <c r="A501" s="24">
        <v>493.0</v>
      </c>
      <c r="B501" s="25" t="s">
        <v>2153</v>
      </c>
      <c r="C501" s="26" t="s">
        <v>2420</v>
      </c>
      <c r="D501" s="26" t="s">
        <v>2421</v>
      </c>
      <c r="E501" s="26" t="s">
        <v>2422</v>
      </c>
      <c r="F501" s="26" t="s">
        <v>2423</v>
      </c>
      <c r="G501" s="26" t="s">
        <v>2424</v>
      </c>
      <c r="H501" s="27" t="s">
        <v>148</v>
      </c>
    </row>
    <row r="502">
      <c r="A502" s="24">
        <v>494.0</v>
      </c>
      <c r="B502" s="25" t="s">
        <v>2153</v>
      </c>
      <c r="C502" s="26" t="s">
        <v>2425</v>
      </c>
      <c r="D502" s="26" t="s">
        <v>2427</v>
      </c>
      <c r="E502" s="26" t="s">
        <v>2428</v>
      </c>
      <c r="F502" s="26" t="s">
        <v>2429</v>
      </c>
      <c r="G502" s="26" t="s">
        <v>2430</v>
      </c>
      <c r="H502" s="27" t="s">
        <v>161</v>
      </c>
    </row>
    <row r="503">
      <c r="A503" s="24">
        <v>495.0</v>
      </c>
      <c r="B503" s="25" t="s">
        <v>2153</v>
      </c>
      <c r="C503" s="26" t="s">
        <v>2432</v>
      </c>
      <c r="D503" s="26" t="s">
        <v>2190</v>
      </c>
      <c r="E503" s="26" t="s">
        <v>2414</v>
      </c>
      <c r="F503" s="26" t="s">
        <v>2433</v>
      </c>
      <c r="G503" s="26" t="s">
        <v>2434</v>
      </c>
      <c r="H503" s="27" t="s">
        <v>148</v>
      </c>
    </row>
    <row r="504">
      <c r="A504" s="24">
        <v>496.0</v>
      </c>
      <c r="B504" s="25" t="s">
        <v>2153</v>
      </c>
      <c r="C504" s="26" t="s">
        <v>2435</v>
      </c>
      <c r="D504" s="26" t="s">
        <v>2436</v>
      </c>
      <c r="E504" s="26" t="s">
        <v>2383</v>
      </c>
      <c r="F504" s="26" t="s">
        <v>2437</v>
      </c>
      <c r="G504" s="26" t="s">
        <v>2438</v>
      </c>
      <c r="H504" s="27" t="s">
        <v>173</v>
      </c>
    </row>
    <row r="505">
      <c r="A505" s="24">
        <v>497.0</v>
      </c>
      <c r="B505" s="25" t="s">
        <v>2153</v>
      </c>
      <c r="C505" s="26" t="s">
        <v>2439</v>
      </c>
      <c r="D505" s="26" t="s">
        <v>2382</v>
      </c>
      <c r="E505" s="26" t="s">
        <v>2440</v>
      </c>
      <c r="F505" s="26" t="s">
        <v>2191</v>
      </c>
      <c r="G505" s="26" t="s">
        <v>2441</v>
      </c>
      <c r="H505" s="27" t="s">
        <v>161</v>
      </c>
    </row>
    <row r="506">
      <c r="A506" s="24">
        <v>498.0</v>
      </c>
      <c r="B506" s="25" t="s">
        <v>2153</v>
      </c>
      <c r="C506" s="26" t="s">
        <v>2442</v>
      </c>
      <c r="D506" s="26" t="s">
        <v>2414</v>
      </c>
      <c r="E506" s="26" t="s">
        <v>2190</v>
      </c>
      <c r="F506" s="26" t="s">
        <v>2191</v>
      </c>
      <c r="G506" s="26" t="s">
        <v>2436</v>
      </c>
      <c r="H506" s="27" t="s">
        <v>173</v>
      </c>
    </row>
    <row r="507">
      <c r="A507" s="24">
        <v>499.0</v>
      </c>
      <c r="B507" s="25" t="s">
        <v>2153</v>
      </c>
      <c r="C507" s="26" t="s">
        <v>2444</v>
      </c>
      <c r="D507" s="26" t="s">
        <v>2190</v>
      </c>
      <c r="E507" s="26" t="s">
        <v>2445</v>
      </c>
      <c r="F507" s="26" t="s">
        <v>2446</v>
      </c>
      <c r="G507" s="26" t="s">
        <v>2434</v>
      </c>
      <c r="H507" s="27" t="s">
        <v>161</v>
      </c>
    </row>
    <row r="508">
      <c r="A508" s="24">
        <v>500.0</v>
      </c>
      <c r="B508" s="25" t="s">
        <v>2153</v>
      </c>
      <c r="C508" s="26" t="s">
        <v>2447</v>
      </c>
      <c r="D508" s="26" t="s">
        <v>2384</v>
      </c>
      <c r="E508" s="26" t="s">
        <v>2417</v>
      </c>
      <c r="F508" s="26" t="s">
        <v>2418</v>
      </c>
      <c r="G508" s="26" t="s">
        <v>2448</v>
      </c>
      <c r="H508" s="27" t="s">
        <v>148</v>
      </c>
    </row>
    <row r="509">
      <c r="A509" s="24">
        <v>501.0</v>
      </c>
      <c r="B509" s="25" t="s">
        <v>2153</v>
      </c>
      <c r="C509" s="26" t="s">
        <v>2449</v>
      </c>
      <c r="D509" s="26" t="s">
        <v>2450</v>
      </c>
      <c r="E509" s="26" t="s">
        <v>2422</v>
      </c>
      <c r="F509" s="26" t="s">
        <v>2430</v>
      </c>
      <c r="G509" s="26" t="s">
        <v>2451</v>
      </c>
      <c r="H509" s="27" t="s">
        <v>173</v>
      </c>
    </row>
    <row r="510">
      <c r="A510" s="24">
        <v>502.0</v>
      </c>
      <c r="B510" s="25" t="s">
        <v>2153</v>
      </c>
      <c r="C510" s="26" t="s">
        <v>2452</v>
      </c>
      <c r="D510" s="26" t="s">
        <v>2453</v>
      </c>
      <c r="E510" s="26" t="s">
        <v>2454</v>
      </c>
      <c r="F510" s="26" t="s">
        <v>2456</v>
      </c>
      <c r="G510" s="26" t="s">
        <v>2424</v>
      </c>
      <c r="H510" s="27" t="s">
        <v>154</v>
      </c>
    </row>
    <row r="511">
      <c r="A511" s="24">
        <v>503.0</v>
      </c>
      <c r="B511" s="25" t="s">
        <v>2153</v>
      </c>
      <c r="C511" s="26" t="s">
        <v>2457</v>
      </c>
      <c r="D511" s="26" t="s">
        <v>2422</v>
      </c>
      <c r="E511" s="26" t="s">
        <v>2421</v>
      </c>
      <c r="F511" s="26" t="s">
        <v>2459</v>
      </c>
      <c r="G511" s="26" t="s">
        <v>2460</v>
      </c>
      <c r="H511" s="27" t="s">
        <v>161</v>
      </c>
    </row>
    <row r="512">
      <c r="A512" s="24">
        <v>504.0</v>
      </c>
      <c r="B512" s="25" t="s">
        <v>2153</v>
      </c>
      <c r="C512" s="26" t="s">
        <v>2462</v>
      </c>
      <c r="D512" s="26" t="s">
        <v>2463</v>
      </c>
      <c r="E512" s="26" t="s">
        <v>2464</v>
      </c>
      <c r="F512" s="26" t="s">
        <v>2466</v>
      </c>
      <c r="G512" s="26" t="s">
        <v>2467</v>
      </c>
      <c r="H512" s="27" t="s">
        <v>148</v>
      </c>
    </row>
    <row r="513">
      <c r="A513" s="24">
        <v>505.0</v>
      </c>
      <c r="B513" s="25" t="s">
        <v>2153</v>
      </c>
      <c r="C513" s="26" t="s">
        <v>2470</v>
      </c>
      <c r="D513" s="26" t="s">
        <v>2259</v>
      </c>
      <c r="E513" s="26" t="s">
        <v>2471</v>
      </c>
      <c r="F513" s="26" t="s">
        <v>2267</v>
      </c>
      <c r="G513" s="26" t="s">
        <v>2320</v>
      </c>
      <c r="H513" s="27" t="s">
        <v>148</v>
      </c>
    </row>
    <row r="514">
      <c r="A514" s="24">
        <v>506.0</v>
      </c>
      <c r="B514" s="25" t="s">
        <v>2153</v>
      </c>
      <c r="C514" s="26" t="s">
        <v>2473</v>
      </c>
      <c r="D514" s="26" t="s">
        <v>2424</v>
      </c>
      <c r="E514" s="26" t="s">
        <v>2421</v>
      </c>
      <c r="F514" s="26" t="s">
        <v>2459</v>
      </c>
      <c r="G514" s="26" t="s">
        <v>2422</v>
      </c>
      <c r="H514" s="27" t="s">
        <v>148</v>
      </c>
    </row>
    <row r="515">
      <c r="A515" s="24">
        <v>507.0</v>
      </c>
      <c r="B515" s="25" t="s">
        <v>2153</v>
      </c>
      <c r="C515" s="26" t="s">
        <v>2474</v>
      </c>
      <c r="D515" s="26" t="s">
        <v>2454</v>
      </c>
      <c r="E515" s="26" t="s">
        <v>2475</v>
      </c>
      <c r="F515" s="26" t="s">
        <v>2476</v>
      </c>
      <c r="G515" s="26" t="s">
        <v>2460</v>
      </c>
      <c r="H515" s="27" t="s">
        <v>161</v>
      </c>
    </row>
    <row r="516">
      <c r="A516" s="24">
        <v>508.0</v>
      </c>
      <c r="B516" s="25" t="s">
        <v>2153</v>
      </c>
      <c r="C516" s="26" t="s">
        <v>2477</v>
      </c>
      <c r="D516" s="26" t="s">
        <v>2259</v>
      </c>
      <c r="E516" s="26" t="s">
        <v>2257</v>
      </c>
      <c r="F516" s="26" t="s">
        <v>2258</v>
      </c>
      <c r="G516" s="26" t="s">
        <v>1474</v>
      </c>
      <c r="H516" s="27" t="s">
        <v>148</v>
      </c>
    </row>
    <row r="517">
      <c r="A517" s="24">
        <v>509.0</v>
      </c>
      <c r="B517" s="25" t="s">
        <v>2153</v>
      </c>
      <c r="C517" s="26" t="s">
        <v>2479</v>
      </c>
      <c r="D517" s="26" t="s">
        <v>2480</v>
      </c>
      <c r="E517" s="26" t="s">
        <v>2190</v>
      </c>
      <c r="F517" s="26" t="s">
        <v>2481</v>
      </c>
      <c r="G517" s="26" t="s">
        <v>2440</v>
      </c>
      <c r="H517" s="27" t="s">
        <v>161</v>
      </c>
    </row>
    <row r="518">
      <c r="A518" s="24">
        <v>510.0</v>
      </c>
      <c r="B518" s="25" t="s">
        <v>2153</v>
      </c>
      <c r="C518" s="26" t="s">
        <v>2483</v>
      </c>
      <c r="D518" s="26">
        <v>2000.0</v>
      </c>
      <c r="E518" s="26">
        <v>2005.0</v>
      </c>
      <c r="F518" s="26">
        <v>2010.0</v>
      </c>
      <c r="G518" s="26">
        <v>2015.0</v>
      </c>
      <c r="H518" s="27" t="s">
        <v>173</v>
      </c>
    </row>
    <row r="519">
      <c r="A519" s="24">
        <v>511.0</v>
      </c>
      <c r="B519" s="25" t="s">
        <v>2153</v>
      </c>
      <c r="C519" s="26" t="s">
        <v>2484</v>
      </c>
      <c r="D519" s="26" t="s">
        <v>2485</v>
      </c>
      <c r="E519" s="26" t="s">
        <v>2487</v>
      </c>
      <c r="F519" s="26" t="s">
        <v>2488</v>
      </c>
      <c r="G519" s="26" t="s">
        <v>2489</v>
      </c>
      <c r="H519" s="27" t="s">
        <v>161</v>
      </c>
    </row>
    <row r="520">
      <c r="A520" s="24">
        <v>512.0</v>
      </c>
      <c r="B520" s="25" t="s">
        <v>2153</v>
      </c>
      <c r="C520" s="26" t="s">
        <v>2490</v>
      </c>
      <c r="D520" s="26" t="s">
        <v>2491</v>
      </c>
      <c r="E520" s="26" t="s">
        <v>2492</v>
      </c>
      <c r="F520" s="26" t="s">
        <v>2493</v>
      </c>
      <c r="G520" s="26" t="s">
        <v>2494</v>
      </c>
      <c r="H520" s="27" t="s">
        <v>148</v>
      </c>
    </row>
    <row r="521" ht="24.0" customHeight="1">
      <c r="A521" s="24">
        <v>513.0</v>
      </c>
      <c r="B521" s="28" t="s">
        <v>2153</v>
      </c>
      <c r="C521" s="29" t="s">
        <v>2495</v>
      </c>
      <c r="D521" s="29" t="s">
        <v>2496</v>
      </c>
      <c r="E521" s="29" t="s">
        <v>2497</v>
      </c>
      <c r="F521" s="29" t="s">
        <v>2498</v>
      </c>
      <c r="G521" s="29" t="s">
        <v>2198</v>
      </c>
      <c r="H521" s="30" t="s">
        <v>154</v>
      </c>
    </row>
    <row r="522">
      <c r="A522" s="24">
        <v>514.0</v>
      </c>
      <c r="B522" s="25" t="s">
        <v>2153</v>
      </c>
      <c r="C522" s="26" t="s">
        <v>2499</v>
      </c>
      <c r="D522" s="26" t="s">
        <v>2500</v>
      </c>
      <c r="E522" s="26" t="s">
        <v>2501</v>
      </c>
      <c r="F522" s="26" t="s">
        <v>2502</v>
      </c>
      <c r="G522" s="26" t="s">
        <v>2503</v>
      </c>
      <c r="H522" s="27" t="s">
        <v>161</v>
      </c>
    </row>
    <row r="523">
      <c r="A523" s="24">
        <v>515.0</v>
      </c>
      <c r="B523" s="25" t="s">
        <v>2153</v>
      </c>
      <c r="C523" s="26" t="s">
        <v>2505</v>
      </c>
      <c r="D523" s="26" t="s">
        <v>2348</v>
      </c>
      <c r="E523" s="26" t="s">
        <v>2506</v>
      </c>
      <c r="F523" s="26" t="s">
        <v>2507</v>
      </c>
      <c r="G523" s="26" t="s">
        <v>2508</v>
      </c>
      <c r="H523" s="27" t="s">
        <v>173</v>
      </c>
    </row>
    <row r="524">
      <c r="A524" s="24">
        <v>516.0</v>
      </c>
      <c r="B524" s="25" t="s">
        <v>2153</v>
      </c>
      <c r="C524" s="26" t="s">
        <v>2509</v>
      </c>
      <c r="D524" s="26" t="s">
        <v>2200</v>
      </c>
      <c r="E524" s="26" t="s">
        <v>2510</v>
      </c>
      <c r="F524" s="26" t="s">
        <v>2511</v>
      </c>
      <c r="G524" s="26" t="s">
        <v>2512</v>
      </c>
      <c r="H524" s="27" t="s">
        <v>173</v>
      </c>
    </row>
    <row r="525">
      <c r="A525" s="24">
        <v>517.0</v>
      </c>
      <c r="B525" s="25" t="s">
        <v>2153</v>
      </c>
      <c r="C525" s="26" t="s">
        <v>2513</v>
      </c>
      <c r="D525" s="26">
        <v>2008.0</v>
      </c>
      <c r="E525" s="26">
        <v>2011.0</v>
      </c>
      <c r="F525" s="26">
        <v>2014.0</v>
      </c>
      <c r="G525" s="26">
        <v>2016.0</v>
      </c>
      <c r="H525" s="27" t="s">
        <v>161</v>
      </c>
    </row>
    <row r="526">
      <c r="A526" s="24">
        <v>518.0</v>
      </c>
      <c r="B526" s="25" t="s">
        <v>2153</v>
      </c>
      <c r="C526" s="26" t="s">
        <v>2514</v>
      </c>
      <c r="D526" s="26" t="s">
        <v>2515</v>
      </c>
      <c r="E526" s="26" t="s">
        <v>2516</v>
      </c>
      <c r="F526" s="26" t="s">
        <v>2517</v>
      </c>
      <c r="G526" s="26" t="s">
        <v>2518</v>
      </c>
      <c r="H526" s="27" t="s">
        <v>148</v>
      </c>
    </row>
    <row r="527">
      <c r="A527" s="24">
        <v>519.0</v>
      </c>
      <c r="B527" s="25" t="s">
        <v>2153</v>
      </c>
      <c r="C527" s="26" t="s">
        <v>2520</v>
      </c>
      <c r="D527" s="26" t="s">
        <v>2521</v>
      </c>
      <c r="E527" s="26" t="s">
        <v>2522</v>
      </c>
      <c r="F527" s="26" t="s">
        <v>2523</v>
      </c>
      <c r="G527" s="26" t="s">
        <v>2524</v>
      </c>
      <c r="H527" s="27" t="s">
        <v>161</v>
      </c>
    </row>
    <row r="528">
      <c r="A528" s="24">
        <v>520.0</v>
      </c>
      <c r="B528" s="25" t="s">
        <v>2153</v>
      </c>
      <c r="C528" s="26" t="s">
        <v>2526</v>
      </c>
      <c r="D528" s="26">
        <v>2012.0</v>
      </c>
      <c r="E528" s="26">
        <v>2013.0</v>
      </c>
      <c r="F528" s="26">
        <v>2015.0</v>
      </c>
      <c r="G528" s="26">
        <v>2017.0</v>
      </c>
      <c r="H528" s="27" t="s">
        <v>148</v>
      </c>
    </row>
    <row r="529">
      <c r="A529" s="24">
        <v>521.0</v>
      </c>
      <c r="B529" s="25" t="s">
        <v>2153</v>
      </c>
      <c r="C529" s="26" t="s">
        <v>2527</v>
      </c>
      <c r="D529" s="26">
        <v>2011.0</v>
      </c>
      <c r="E529" s="26">
        <v>2013.0</v>
      </c>
      <c r="F529" s="26">
        <v>2015.0</v>
      </c>
      <c r="G529" s="26">
        <v>2017.0</v>
      </c>
      <c r="H529" s="27" t="s">
        <v>161</v>
      </c>
    </row>
    <row r="530">
      <c r="A530" s="24">
        <v>522.0</v>
      </c>
      <c r="B530" s="25" t="s">
        <v>2153</v>
      </c>
      <c r="C530" s="26" t="s">
        <v>2528</v>
      </c>
      <c r="D530" s="26" t="s">
        <v>2529</v>
      </c>
      <c r="E530" s="26" t="s">
        <v>2530</v>
      </c>
      <c r="F530" s="26" t="s">
        <v>2531</v>
      </c>
      <c r="G530" s="26" t="s">
        <v>2532</v>
      </c>
      <c r="H530" s="27" t="s">
        <v>161</v>
      </c>
    </row>
    <row r="531">
      <c r="A531" s="24">
        <v>523.0</v>
      </c>
      <c r="B531" s="25" t="s">
        <v>2153</v>
      </c>
      <c r="C531" s="26" t="s">
        <v>2533</v>
      </c>
      <c r="D531" s="26" t="s">
        <v>2534</v>
      </c>
      <c r="E531" s="26" t="s">
        <v>2254</v>
      </c>
      <c r="F531" s="26" t="s">
        <v>2535</v>
      </c>
      <c r="G531" s="26" t="s">
        <v>2536</v>
      </c>
      <c r="H531" s="27" t="s">
        <v>154</v>
      </c>
    </row>
    <row r="532">
      <c r="A532" s="24">
        <v>524.0</v>
      </c>
      <c r="B532" s="25" t="s">
        <v>2153</v>
      </c>
      <c r="C532" s="26" t="s">
        <v>2537</v>
      </c>
      <c r="D532" s="26" t="s">
        <v>2538</v>
      </c>
      <c r="E532" s="26" t="s">
        <v>2539</v>
      </c>
      <c r="F532" s="26" t="s">
        <v>2540</v>
      </c>
      <c r="G532" s="26" t="s">
        <v>2541</v>
      </c>
      <c r="H532" s="27" t="s">
        <v>173</v>
      </c>
    </row>
    <row r="533">
      <c r="A533" s="24">
        <v>525.0</v>
      </c>
      <c r="B533" s="25" t="s">
        <v>2153</v>
      </c>
      <c r="C533" s="26" t="s">
        <v>2542</v>
      </c>
      <c r="D533" s="26" t="s">
        <v>2543</v>
      </c>
      <c r="E533" s="26" t="s">
        <v>2544</v>
      </c>
      <c r="F533" s="26" t="s">
        <v>2545</v>
      </c>
      <c r="G533" s="26" t="s">
        <v>2546</v>
      </c>
      <c r="H533" s="27" t="s">
        <v>148</v>
      </c>
    </row>
    <row r="534">
      <c r="A534" s="24">
        <v>526.0</v>
      </c>
      <c r="B534" s="25" t="s">
        <v>2153</v>
      </c>
      <c r="C534" s="26" t="s">
        <v>2547</v>
      </c>
      <c r="D534" s="26" t="s">
        <v>2548</v>
      </c>
      <c r="E534" s="26" t="s">
        <v>2549</v>
      </c>
      <c r="F534" s="26" t="s">
        <v>2550</v>
      </c>
      <c r="G534" s="26" t="s">
        <v>2551</v>
      </c>
      <c r="H534" s="27" t="s">
        <v>173</v>
      </c>
    </row>
    <row r="535">
      <c r="A535" s="24">
        <v>527.0</v>
      </c>
      <c r="B535" s="25" t="s">
        <v>2153</v>
      </c>
      <c r="C535" s="26" t="s">
        <v>2552</v>
      </c>
      <c r="D535" s="26" t="s">
        <v>2553</v>
      </c>
      <c r="E535" s="26" t="s">
        <v>2554</v>
      </c>
      <c r="F535" s="26" t="s">
        <v>2555</v>
      </c>
      <c r="G535" s="26" t="s">
        <v>2556</v>
      </c>
      <c r="H535" s="27" t="s">
        <v>173</v>
      </c>
    </row>
    <row r="536">
      <c r="A536" s="24">
        <v>528.0</v>
      </c>
      <c r="B536" s="25" t="s">
        <v>2153</v>
      </c>
      <c r="C536" s="26" t="s">
        <v>2557</v>
      </c>
      <c r="D536" s="26" t="s">
        <v>2558</v>
      </c>
      <c r="E536" s="26" t="s">
        <v>2560</v>
      </c>
      <c r="F536" s="26" t="s">
        <v>2561</v>
      </c>
      <c r="G536" s="26" t="s">
        <v>2562</v>
      </c>
      <c r="H536" s="27" t="s">
        <v>161</v>
      </c>
    </row>
    <row r="537">
      <c r="A537" s="24">
        <v>529.0</v>
      </c>
      <c r="B537" s="25" t="s">
        <v>2153</v>
      </c>
      <c r="C537" s="26" t="s">
        <v>2563</v>
      </c>
      <c r="D537" s="26">
        <v>8.0</v>
      </c>
      <c r="E537" s="26">
        <v>28.0</v>
      </c>
      <c r="F537" s="26">
        <v>10.0</v>
      </c>
      <c r="G537" s="26">
        <v>4.0</v>
      </c>
      <c r="H537" s="27" t="s">
        <v>148</v>
      </c>
    </row>
    <row r="538">
      <c r="A538" s="24">
        <v>530.0</v>
      </c>
      <c r="B538" s="25" t="s">
        <v>2153</v>
      </c>
      <c r="C538" s="26" t="s">
        <v>2566</v>
      </c>
      <c r="D538" s="26" t="s">
        <v>2567</v>
      </c>
      <c r="E538" s="26" t="s">
        <v>2568</v>
      </c>
      <c r="F538" s="26" t="s">
        <v>2569</v>
      </c>
      <c r="G538" s="26" t="s">
        <v>2570</v>
      </c>
      <c r="H538" s="27" t="s">
        <v>173</v>
      </c>
    </row>
    <row r="539">
      <c r="A539" s="21" t="s">
        <v>2571</v>
      </c>
      <c r="B539" s="22"/>
      <c r="C539" s="22"/>
      <c r="D539" s="22"/>
      <c r="E539" s="22"/>
      <c r="F539" s="22"/>
      <c r="G539" s="22"/>
      <c r="H539" s="23"/>
    </row>
    <row r="540">
      <c r="A540" s="24">
        <v>531.0</v>
      </c>
      <c r="B540" s="25" t="s">
        <v>2572</v>
      </c>
      <c r="C540" s="26" t="s">
        <v>2573</v>
      </c>
      <c r="D540" s="26" t="s">
        <v>2574</v>
      </c>
      <c r="E540" s="26" t="s">
        <v>2575</v>
      </c>
      <c r="F540" s="26" t="s">
        <v>2576</v>
      </c>
      <c r="G540" s="26" t="s">
        <v>299</v>
      </c>
      <c r="H540" s="27" t="s">
        <v>154</v>
      </c>
    </row>
    <row r="541">
      <c r="A541" s="24">
        <v>532.0</v>
      </c>
      <c r="B541" s="25" t="s">
        <v>2572</v>
      </c>
      <c r="C541" s="26" t="s">
        <v>2577</v>
      </c>
      <c r="D541" s="26" t="s">
        <v>1848</v>
      </c>
      <c r="E541" s="26" t="s">
        <v>2578</v>
      </c>
      <c r="F541" s="26" t="s">
        <v>2579</v>
      </c>
      <c r="G541" s="26" t="s">
        <v>299</v>
      </c>
      <c r="H541" s="27" t="s">
        <v>154</v>
      </c>
    </row>
    <row r="542">
      <c r="A542" s="24">
        <v>533.0</v>
      </c>
      <c r="B542" s="25" t="s">
        <v>2572</v>
      </c>
      <c r="C542" s="26" t="s">
        <v>2580</v>
      </c>
      <c r="D542" s="26" t="s">
        <v>2459</v>
      </c>
      <c r="E542" s="26" t="s">
        <v>2301</v>
      </c>
      <c r="F542" s="26" t="s">
        <v>2279</v>
      </c>
      <c r="G542" s="26" t="s">
        <v>2581</v>
      </c>
      <c r="H542" s="27" t="s">
        <v>154</v>
      </c>
    </row>
    <row r="543">
      <c r="A543" s="24">
        <v>534.0</v>
      </c>
      <c r="B543" s="25" t="s">
        <v>2572</v>
      </c>
      <c r="C543" s="26" t="s">
        <v>2582</v>
      </c>
      <c r="D543" s="26" t="s">
        <v>2583</v>
      </c>
      <c r="E543" s="26" t="s">
        <v>2585</v>
      </c>
      <c r="F543" s="26" t="s">
        <v>1427</v>
      </c>
      <c r="G543" s="26" t="s">
        <v>2586</v>
      </c>
      <c r="H543" s="27" t="s">
        <v>161</v>
      </c>
    </row>
    <row r="544">
      <c r="A544" s="24">
        <v>535.0</v>
      </c>
      <c r="B544" s="25" t="s">
        <v>2572</v>
      </c>
      <c r="C544" s="26" t="s">
        <v>2588</v>
      </c>
      <c r="D544" s="26" t="s">
        <v>2200</v>
      </c>
      <c r="E544" s="26" t="s">
        <v>2589</v>
      </c>
      <c r="F544" s="26" t="s">
        <v>2590</v>
      </c>
      <c r="G544" s="26" t="s">
        <v>299</v>
      </c>
      <c r="H544" s="27" t="s">
        <v>154</v>
      </c>
    </row>
    <row r="545">
      <c r="A545" s="24">
        <v>536.0</v>
      </c>
      <c r="B545" s="25" t="s">
        <v>2572</v>
      </c>
      <c r="C545" s="26" t="s">
        <v>2592</v>
      </c>
      <c r="D545" s="26" t="s">
        <v>2593</v>
      </c>
      <c r="E545" s="26" t="s">
        <v>2594</v>
      </c>
      <c r="F545" s="26" t="s">
        <v>2595</v>
      </c>
      <c r="G545" s="26" t="s">
        <v>2596</v>
      </c>
      <c r="H545" s="27" t="s">
        <v>173</v>
      </c>
    </row>
    <row r="546">
      <c r="A546" s="24">
        <v>537.0</v>
      </c>
      <c r="B546" s="25" t="s">
        <v>2572</v>
      </c>
      <c r="C546" s="26" t="s">
        <v>2598</v>
      </c>
      <c r="D546" s="26" t="s">
        <v>2599</v>
      </c>
      <c r="E546" s="26" t="s">
        <v>2585</v>
      </c>
      <c r="F546" s="26" t="s">
        <v>1427</v>
      </c>
      <c r="G546" s="26" t="s">
        <v>2586</v>
      </c>
      <c r="H546" s="27" t="s">
        <v>173</v>
      </c>
    </row>
    <row r="547" ht="24.0" customHeight="1">
      <c r="A547" s="24">
        <v>538.0</v>
      </c>
      <c r="B547" s="28" t="s">
        <v>2572</v>
      </c>
      <c r="C547" s="29" t="s">
        <v>2601</v>
      </c>
      <c r="D547" s="29" t="s">
        <v>2593</v>
      </c>
      <c r="E547" s="29" t="s">
        <v>2594</v>
      </c>
      <c r="F547" s="29" t="s">
        <v>2595</v>
      </c>
      <c r="G547" s="29" t="s">
        <v>2596</v>
      </c>
      <c r="H547" s="30" t="s">
        <v>173</v>
      </c>
    </row>
    <row r="548">
      <c r="A548" s="24">
        <v>539.0</v>
      </c>
      <c r="B548" s="25" t="s">
        <v>2572</v>
      </c>
      <c r="C548" s="26" t="s">
        <v>2602</v>
      </c>
      <c r="D548" s="26" t="s">
        <v>2603</v>
      </c>
      <c r="E548" s="26" t="s">
        <v>2604</v>
      </c>
      <c r="F548" s="26" t="s">
        <v>1427</v>
      </c>
      <c r="G548" s="26" t="s">
        <v>2585</v>
      </c>
      <c r="H548" s="27" t="s">
        <v>173</v>
      </c>
    </row>
    <row r="549">
      <c r="A549" s="24">
        <v>540.0</v>
      </c>
      <c r="B549" s="25" t="s">
        <v>2572</v>
      </c>
      <c r="C549" s="26" t="s">
        <v>2606</v>
      </c>
      <c r="D549" s="26" t="s">
        <v>2593</v>
      </c>
      <c r="E549" s="26" t="s">
        <v>2594</v>
      </c>
      <c r="F549" s="26" t="s">
        <v>2595</v>
      </c>
      <c r="G549" s="26" t="s">
        <v>2596</v>
      </c>
      <c r="H549" s="27" t="s">
        <v>173</v>
      </c>
    </row>
    <row r="550">
      <c r="A550" s="24">
        <v>541.0</v>
      </c>
      <c r="B550" s="25" t="s">
        <v>2572</v>
      </c>
      <c r="C550" s="26" t="s">
        <v>2608</v>
      </c>
      <c r="D550" s="26" t="s">
        <v>2593</v>
      </c>
      <c r="E550" s="26" t="s">
        <v>2594</v>
      </c>
      <c r="F550" s="26" t="s">
        <v>2595</v>
      </c>
      <c r="G550" s="26" t="s">
        <v>2596</v>
      </c>
      <c r="H550" s="27" t="s">
        <v>173</v>
      </c>
    </row>
    <row r="551">
      <c r="A551" s="24">
        <v>542.0</v>
      </c>
      <c r="B551" s="25" t="s">
        <v>2572</v>
      </c>
      <c r="C551" s="26" t="s">
        <v>2609</v>
      </c>
      <c r="D551" s="26" t="s">
        <v>2583</v>
      </c>
      <c r="E551" s="26" t="s">
        <v>2585</v>
      </c>
      <c r="F551" s="26" t="s">
        <v>2610</v>
      </c>
      <c r="G551" s="26" t="s">
        <v>1427</v>
      </c>
      <c r="H551" s="27" t="s">
        <v>148</v>
      </c>
    </row>
    <row r="552">
      <c r="A552" s="24">
        <v>543.0</v>
      </c>
      <c r="B552" s="25" t="s">
        <v>2572</v>
      </c>
      <c r="C552" s="26" t="s">
        <v>2612</v>
      </c>
      <c r="D552" s="26">
        <v>21.0</v>
      </c>
      <c r="E552" s="26">
        <v>22.0</v>
      </c>
      <c r="F552" s="26">
        <v>23.0</v>
      </c>
      <c r="G552" s="26">
        <v>24.0</v>
      </c>
      <c r="H552" s="27" t="s">
        <v>154</v>
      </c>
    </row>
    <row r="553">
      <c r="A553" s="24">
        <v>544.0</v>
      </c>
      <c r="B553" s="25" t="s">
        <v>2572</v>
      </c>
      <c r="C553" s="26" t="s">
        <v>2613</v>
      </c>
      <c r="D553" s="26" t="s">
        <v>2614</v>
      </c>
      <c r="E553" s="26" t="s">
        <v>2615</v>
      </c>
      <c r="F553" s="26" t="s">
        <v>2616</v>
      </c>
      <c r="G553" s="26" t="s">
        <v>299</v>
      </c>
      <c r="H553" s="27" t="s">
        <v>154</v>
      </c>
    </row>
    <row r="554">
      <c r="A554" s="24">
        <v>545.0</v>
      </c>
      <c r="B554" s="25" t="s">
        <v>2572</v>
      </c>
      <c r="C554" s="26" t="s">
        <v>2618</v>
      </c>
      <c r="D554" s="26" t="s">
        <v>2593</v>
      </c>
      <c r="E554" s="26" t="s">
        <v>2594</v>
      </c>
      <c r="F554" s="26" t="s">
        <v>2595</v>
      </c>
      <c r="G554" s="26" t="s">
        <v>2596</v>
      </c>
      <c r="H554" s="27" t="s">
        <v>173</v>
      </c>
    </row>
    <row r="555">
      <c r="A555" s="24">
        <v>546.0</v>
      </c>
      <c r="B555" s="25" t="s">
        <v>2572</v>
      </c>
      <c r="C555" s="26" t="s">
        <v>2619</v>
      </c>
      <c r="D555" s="26" t="s">
        <v>2585</v>
      </c>
      <c r="E555" s="26" t="s">
        <v>1427</v>
      </c>
      <c r="F555" s="26" t="s">
        <v>2586</v>
      </c>
      <c r="G555" s="26" t="s">
        <v>2620</v>
      </c>
      <c r="H555" s="27" t="s">
        <v>154</v>
      </c>
    </row>
    <row r="556">
      <c r="A556" s="24">
        <v>547.0</v>
      </c>
      <c r="B556" s="25" t="s">
        <v>2572</v>
      </c>
      <c r="C556" s="26" t="s">
        <v>2622</v>
      </c>
      <c r="D556" s="26" t="s">
        <v>2623</v>
      </c>
      <c r="E556" s="26" t="s">
        <v>2624</v>
      </c>
      <c r="F556" s="26" t="s">
        <v>2335</v>
      </c>
      <c r="G556" s="26" t="s">
        <v>2625</v>
      </c>
      <c r="H556" s="27" t="s">
        <v>148</v>
      </c>
    </row>
    <row r="557">
      <c r="A557" s="24">
        <v>548.0</v>
      </c>
      <c r="B557" s="25" t="s">
        <v>2572</v>
      </c>
      <c r="C557" s="26" t="s">
        <v>2626</v>
      </c>
      <c r="D557" s="26" t="s">
        <v>2627</v>
      </c>
      <c r="E557" s="26" t="s">
        <v>2628</v>
      </c>
      <c r="F557" s="26" t="s">
        <v>2629</v>
      </c>
      <c r="G557" s="26" t="s">
        <v>2630</v>
      </c>
      <c r="H557" s="27" t="s">
        <v>161</v>
      </c>
    </row>
    <row r="558">
      <c r="A558" s="24">
        <v>549.0</v>
      </c>
      <c r="B558" s="25" t="s">
        <v>2572</v>
      </c>
      <c r="C558" s="26" t="s">
        <v>2631</v>
      </c>
      <c r="D558" s="26" t="s">
        <v>2632</v>
      </c>
      <c r="E558" s="26" t="s">
        <v>2633</v>
      </c>
      <c r="F558" s="26" t="s">
        <v>2634</v>
      </c>
      <c r="G558" s="26" t="s">
        <v>2635</v>
      </c>
      <c r="H558" s="27" t="s">
        <v>173</v>
      </c>
    </row>
    <row r="559">
      <c r="A559" s="24">
        <v>550.0</v>
      </c>
      <c r="B559" s="25" t="s">
        <v>2572</v>
      </c>
      <c r="C559" s="26" t="s">
        <v>2636</v>
      </c>
      <c r="D559" s="26" t="s">
        <v>2637</v>
      </c>
      <c r="E559" s="26" t="s">
        <v>2638</v>
      </c>
      <c r="F559" s="26" t="s">
        <v>2639</v>
      </c>
      <c r="G559" s="26" t="s">
        <v>2640</v>
      </c>
      <c r="H559" s="27" t="s">
        <v>148</v>
      </c>
    </row>
    <row r="560">
      <c r="A560" s="24">
        <v>551.0</v>
      </c>
      <c r="B560" s="25" t="s">
        <v>2572</v>
      </c>
      <c r="C560" s="26" t="s">
        <v>2642</v>
      </c>
      <c r="D560" s="26" t="s">
        <v>2643</v>
      </c>
      <c r="E560" s="26" t="s">
        <v>2644</v>
      </c>
      <c r="F560" s="26" t="s">
        <v>2645</v>
      </c>
      <c r="G560" s="26" t="s">
        <v>2646</v>
      </c>
      <c r="H560" s="27" t="s">
        <v>148</v>
      </c>
    </row>
    <row r="561">
      <c r="A561" s="24">
        <v>552.0</v>
      </c>
      <c r="B561" s="25" t="s">
        <v>2572</v>
      </c>
      <c r="C561" s="26" t="s">
        <v>2647</v>
      </c>
      <c r="D561" s="26" t="s">
        <v>2648</v>
      </c>
      <c r="E561" s="26" t="s">
        <v>2649</v>
      </c>
      <c r="F561" s="26" t="s">
        <v>2650</v>
      </c>
      <c r="G561" s="26" t="s">
        <v>2651</v>
      </c>
      <c r="H561" s="27" t="s">
        <v>148</v>
      </c>
    </row>
    <row r="562">
      <c r="A562" s="24">
        <v>553.0</v>
      </c>
      <c r="B562" s="25" t="s">
        <v>2572</v>
      </c>
      <c r="C562" s="26" t="s">
        <v>2652</v>
      </c>
      <c r="D562" s="26" t="s">
        <v>2653</v>
      </c>
      <c r="E562" s="26" t="s">
        <v>2654</v>
      </c>
      <c r="F562" s="26" t="s">
        <v>2655</v>
      </c>
      <c r="G562" s="26" t="s">
        <v>2656</v>
      </c>
      <c r="H562" s="27" t="s">
        <v>148</v>
      </c>
    </row>
    <row r="563">
      <c r="A563" s="24">
        <v>554.0</v>
      </c>
      <c r="B563" s="25" t="s">
        <v>2572</v>
      </c>
      <c r="C563" s="26" t="s">
        <v>2657</v>
      </c>
      <c r="D563" s="26" t="s">
        <v>2658</v>
      </c>
      <c r="E563" s="26" t="s">
        <v>2659</v>
      </c>
      <c r="F563" s="26" t="s">
        <v>2660</v>
      </c>
      <c r="G563" s="26" t="s">
        <v>2661</v>
      </c>
      <c r="H563" s="27" t="s">
        <v>148</v>
      </c>
    </row>
    <row r="564">
      <c r="A564" s="24">
        <v>555.0</v>
      </c>
      <c r="B564" s="25" t="s">
        <v>2572</v>
      </c>
      <c r="C564" s="26" t="s">
        <v>2662</v>
      </c>
      <c r="D564" s="26" t="s">
        <v>2663</v>
      </c>
      <c r="E564" s="26" t="s">
        <v>2664</v>
      </c>
      <c r="F564" s="26" t="s">
        <v>2665</v>
      </c>
      <c r="G564" s="26" t="s">
        <v>2666</v>
      </c>
      <c r="H564" s="27" t="s">
        <v>148</v>
      </c>
    </row>
    <row r="565">
      <c r="A565" s="24">
        <v>556.0</v>
      </c>
      <c r="B565" s="25" t="s">
        <v>2572</v>
      </c>
      <c r="C565" s="26" t="s">
        <v>2667</v>
      </c>
      <c r="D565" s="26" t="s">
        <v>2668</v>
      </c>
      <c r="E565" s="26" t="s">
        <v>2669</v>
      </c>
      <c r="F565" s="26" t="s">
        <v>2670</v>
      </c>
      <c r="G565" s="26" t="s">
        <v>2671</v>
      </c>
      <c r="H565" s="27" t="s">
        <v>148</v>
      </c>
    </row>
    <row r="566">
      <c r="A566" s="24">
        <v>557.0</v>
      </c>
      <c r="B566" s="25" t="s">
        <v>2572</v>
      </c>
      <c r="C566" s="26" t="s">
        <v>2672</v>
      </c>
      <c r="D566" s="26" t="s">
        <v>2673</v>
      </c>
      <c r="E566" s="26" t="s">
        <v>2674</v>
      </c>
      <c r="F566" s="26" t="s">
        <v>2675</v>
      </c>
      <c r="G566" s="26" t="s">
        <v>2676</v>
      </c>
      <c r="H566" s="27" t="s">
        <v>161</v>
      </c>
    </row>
    <row r="567">
      <c r="A567" s="24">
        <v>558.0</v>
      </c>
      <c r="B567" s="25" t="s">
        <v>2572</v>
      </c>
      <c r="C567" s="26" t="s">
        <v>2677</v>
      </c>
      <c r="D567" s="26" t="s">
        <v>2678</v>
      </c>
      <c r="E567" s="26" t="s">
        <v>2679</v>
      </c>
      <c r="F567" s="26" t="s">
        <v>2680</v>
      </c>
      <c r="G567" s="26" t="s">
        <v>2681</v>
      </c>
      <c r="H567" s="27" t="s">
        <v>161</v>
      </c>
    </row>
    <row r="568">
      <c r="A568" s="24">
        <v>559.0</v>
      </c>
      <c r="B568" s="25" t="s">
        <v>2572</v>
      </c>
      <c r="C568" s="26" t="s">
        <v>2682</v>
      </c>
      <c r="D568" s="26" t="s">
        <v>2683</v>
      </c>
      <c r="E568" s="26" t="s">
        <v>2685</v>
      </c>
      <c r="F568" s="26" t="s">
        <v>2686</v>
      </c>
      <c r="G568" s="26" t="s">
        <v>299</v>
      </c>
      <c r="H568" s="27" t="s">
        <v>154</v>
      </c>
    </row>
    <row r="569">
      <c r="A569" s="24">
        <v>560.0</v>
      </c>
      <c r="B569" s="25" t="s">
        <v>2572</v>
      </c>
      <c r="C569" s="26" t="s">
        <v>2687</v>
      </c>
      <c r="D569" s="26" t="s">
        <v>2688</v>
      </c>
      <c r="E569" s="26" t="s">
        <v>2689</v>
      </c>
      <c r="F569" s="26" t="s">
        <v>2690</v>
      </c>
      <c r="G569" s="26" t="s">
        <v>2691</v>
      </c>
      <c r="H569" s="27" t="s">
        <v>161</v>
      </c>
    </row>
    <row r="570">
      <c r="A570" s="24">
        <v>561.0</v>
      </c>
      <c r="B570" s="25" t="s">
        <v>2572</v>
      </c>
      <c r="C570" s="26" t="s">
        <v>2692</v>
      </c>
      <c r="D570" s="26" t="s">
        <v>2693</v>
      </c>
      <c r="E570" s="26" t="s">
        <v>2694</v>
      </c>
      <c r="F570" s="26" t="s">
        <v>2695</v>
      </c>
      <c r="G570" s="26" t="s">
        <v>2696</v>
      </c>
      <c r="H570" s="27" t="s">
        <v>148</v>
      </c>
    </row>
    <row r="571">
      <c r="A571" s="24">
        <v>562.0</v>
      </c>
      <c r="B571" s="25" t="s">
        <v>2572</v>
      </c>
      <c r="C571" s="26" t="s">
        <v>2697</v>
      </c>
      <c r="D571" s="26" t="s">
        <v>2698</v>
      </c>
      <c r="E571" s="26" t="s">
        <v>2699</v>
      </c>
      <c r="F571" s="26" t="s">
        <v>2700</v>
      </c>
      <c r="G571" s="26" t="s">
        <v>2701</v>
      </c>
      <c r="H571" s="27" t="s">
        <v>148</v>
      </c>
    </row>
    <row r="572">
      <c r="A572" s="24">
        <v>563.0</v>
      </c>
      <c r="B572" s="25" t="s">
        <v>2572</v>
      </c>
      <c r="C572" s="26" t="s">
        <v>2702</v>
      </c>
      <c r="D572" s="26" t="s">
        <v>2703</v>
      </c>
      <c r="E572" s="26" t="s">
        <v>2704</v>
      </c>
      <c r="F572" s="26" t="s">
        <v>2705</v>
      </c>
      <c r="G572" s="26" t="s">
        <v>2706</v>
      </c>
      <c r="H572" s="27" t="s">
        <v>148</v>
      </c>
    </row>
    <row r="573">
      <c r="A573" s="24">
        <v>564.0</v>
      </c>
      <c r="B573" s="25" t="s">
        <v>2572</v>
      </c>
      <c r="C573" s="26" t="s">
        <v>2708</v>
      </c>
      <c r="D573" s="26" t="s">
        <v>2709</v>
      </c>
      <c r="E573" s="26" t="s">
        <v>2710</v>
      </c>
      <c r="F573" s="26" t="s">
        <v>2711</v>
      </c>
      <c r="G573" s="26" t="s">
        <v>2712</v>
      </c>
      <c r="H573" s="27" t="s">
        <v>148</v>
      </c>
    </row>
    <row r="574">
      <c r="A574" s="24">
        <v>565.0</v>
      </c>
      <c r="B574" s="25" t="s">
        <v>2572</v>
      </c>
      <c r="C574" s="26" t="s">
        <v>2713</v>
      </c>
      <c r="D574" s="26" t="s">
        <v>2714</v>
      </c>
      <c r="E574" s="26" t="s">
        <v>2715</v>
      </c>
      <c r="F574" s="26" t="s">
        <v>2716</v>
      </c>
      <c r="G574" s="26" t="s">
        <v>2717</v>
      </c>
      <c r="H574" s="27" t="s">
        <v>148</v>
      </c>
    </row>
    <row r="575">
      <c r="A575" s="24">
        <v>566.0</v>
      </c>
      <c r="B575" s="25" t="s">
        <v>2572</v>
      </c>
      <c r="C575" s="26" t="s">
        <v>2718</v>
      </c>
      <c r="D575" s="26" t="s">
        <v>2719</v>
      </c>
      <c r="E575" s="26" t="s">
        <v>2720</v>
      </c>
      <c r="F575" s="26" t="s">
        <v>2721</v>
      </c>
      <c r="G575" s="26" t="s">
        <v>2722</v>
      </c>
      <c r="H575" s="27" t="s">
        <v>148</v>
      </c>
    </row>
    <row r="576">
      <c r="A576" s="24">
        <v>567.0</v>
      </c>
      <c r="B576" s="25" t="s">
        <v>2572</v>
      </c>
      <c r="C576" s="26" t="s">
        <v>2723</v>
      </c>
      <c r="D576" s="26" t="s">
        <v>2724</v>
      </c>
      <c r="E576" s="26" t="s">
        <v>2725</v>
      </c>
      <c r="F576" s="26" t="s">
        <v>2726</v>
      </c>
      <c r="G576" s="26" t="s">
        <v>2727</v>
      </c>
      <c r="H576" s="27" t="s">
        <v>173</v>
      </c>
    </row>
    <row r="577">
      <c r="A577" s="24">
        <v>568.0</v>
      </c>
      <c r="B577" s="25" t="s">
        <v>2572</v>
      </c>
      <c r="C577" s="26" t="s">
        <v>2728</v>
      </c>
      <c r="D577" s="26" t="s">
        <v>2729</v>
      </c>
      <c r="E577" s="26" t="s">
        <v>2730</v>
      </c>
      <c r="F577" s="26" t="s">
        <v>2731</v>
      </c>
      <c r="G577" s="26" t="s">
        <v>2732</v>
      </c>
      <c r="H577" s="27" t="s">
        <v>154</v>
      </c>
    </row>
    <row r="578" ht="24.0" customHeight="1">
      <c r="A578" s="24">
        <v>569.0</v>
      </c>
      <c r="B578" s="28" t="s">
        <v>2572</v>
      </c>
      <c r="C578" s="29" t="s">
        <v>2733</v>
      </c>
      <c r="D578" s="29" t="s">
        <v>2593</v>
      </c>
      <c r="E578" s="29" t="s">
        <v>2594</v>
      </c>
      <c r="F578" s="29" t="s">
        <v>2595</v>
      </c>
      <c r="G578" s="29" t="s">
        <v>2596</v>
      </c>
      <c r="H578" s="30" t="s">
        <v>161</v>
      </c>
    </row>
    <row r="579">
      <c r="A579" s="24">
        <v>570.0</v>
      </c>
      <c r="B579" s="25" t="s">
        <v>2572</v>
      </c>
      <c r="C579" s="26" t="s">
        <v>2734</v>
      </c>
      <c r="D579" s="26" t="s">
        <v>2735</v>
      </c>
      <c r="E579" s="26" t="s">
        <v>2736</v>
      </c>
      <c r="F579" s="26" t="s">
        <v>2737</v>
      </c>
      <c r="G579" s="26" t="s">
        <v>2738</v>
      </c>
      <c r="H579" s="27" t="s">
        <v>161</v>
      </c>
    </row>
    <row r="580">
      <c r="A580" s="24">
        <v>571.0</v>
      </c>
      <c r="B580" s="25" t="s">
        <v>2572</v>
      </c>
      <c r="C580" s="26" t="s">
        <v>2739</v>
      </c>
      <c r="D580" s="26">
        <v>2.0</v>
      </c>
      <c r="E580" s="26">
        <v>22.0</v>
      </c>
      <c r="F580" s="26">
        <v>24.0</v>
      </c>
      <c r="G580" s="26">
        <v>28.0</v>
      </c>
      <c r="H580" s="27" t="s">
        <v>173</v>
      </c>
    </row>
    <row r="581">
      <c r="A581" s="24">
        <v>572.0</v>
      </c>
      <c r="B581" s="25" t="s">
        <v>2572</v>
      </c>
      <c r="C581" s="26" t="s">
        <v>2740</v>
      </c>
      <c r="D581" s="26" t="s">
        <v>2741</v>
      </c>
      <c r="E581" s="26" t="s">
        <v>2742</v>
      </c>
      <c r="F581" s="26" t="s">
        <v>2743</v>
      </c>
      <c r="G581" s="26" t="s">
        <v>2744</v>
      </c>
      <c r="H581" s="27" t="s">
        <v>148</v>
      </c>
    </row>
    <row r="582">
      <c r="A582" s="24">
        <v>573.0</v>
      </c>
      <c r="B582" s="25" t="s">
        <v>2572</v>
      </c>
      <c r="C582" s="26" t="s">
        <v>2745</v>
      </c>
      <c r="D582" s="26" t="s">
        <v>2746</v>
      </c>
      <c r="E582" s="26" t="s">
        <v>2747</v>
      </c>
      <c r="F582" s="26" t="s">
        <v>2748</v>
      </c>
      <c r="G582" s="26" t="s">
        <v>2749</v>
      </c>
      <c r="H582" s="27" t="s">
        <v>148</v>
      </c>
    </row>
    <row r="583">
      <c r="A583" s="24">
        <v>574.0</v>
      </c>
      <c r="B583" s="25" t="s">
        <v>2572</v>
      </c>
      <c r="C583" s="26" t="s">
        <v>2750</v>
      </c>
      <c r="D583" s="26" t="s">
        <v>2752</v>
      </c>
      <c r="E583" s="26" t="s">
        <v>2753</v>
      </c>
      <c r="F583" s="26" t="s">
        <v>2754</v>
      </c>
      <c r="G583" s="26" t="s">
        <v>299</v>
      </c>
      <c r="H583" s="27" t="s">
        <v>154</v>
      </c>
    </row>
    <row r="584">
      <c r="A584" s="24">
        <v>575.0</v>
      </c>
      <c r="B584" s="25" t="s">
        <v>2572</v>
      </c>
      <c r="C584" s="26" t="s">
        <v>2755</v>
      </c>
      <c r="D584" s="26" t="s">
        <v>2756</v>
      </c>
      <c r="E584" s="26" t="s">
        <v>2757</v>
      </c>
      <c r="F584" s="26" t="s">
        <v>2758</v>
      </c>
      <c r="G584" s="26" t="s">
        <v>2759</v>
      </c>
      <c r="H584" s="27" t="s">
        <v>161</v>
      </c>
    </row>
    <row r="585">
      <c r="A585" s="24">
        <v>576.0</v>
      </c>
      <c r="B585" s="25" t="s">
        <v>2572</v>
      </c>
      <c r="C585" s="26" t="s">
        <v>2760</v>
      </c>
      <c r="D585" s="26" t="s">
        <v>2761</v>
      </c>
      <c r="E585" s="26" t="s">
        <v>2762</v>
      </c>
      <c r="F585" s="26" t="s">
        <v>2763</v>
      </c>
      <c r="G585" s="26" t="s">
        <v>299</v>
      </c>
      <c r="H585" s="27" t="s">
        <v>154</v>
      </c>
    </row>
    <row r="586">
      <c r="A586" s="24">
        <v>577.0</v>
      </c>
      <c r="B586" s="25" t="s">
        <v>2572</v>
      </c>
      <c r="C586" s="26" t="s">
        <v>2764</v>
      </c>
      <c r="D586" s="26" t="s">
        <v>2765</v>
      </c>
      <c r="E586" s="26" t="s">
        <v>2766</v>
      </c>
      <c r="F586" s="26" t="s">
        <v>2767</v>
      </c>
      <c r="G586" s="26" t="s">
        <v>2768</v>
      </c>
      <c r="H586" s="27" t="s">
        <v>148</v>
      </c>
    </row>
    <row r="587">
      <c r="A587" s="24">
        <v>578.0</v>
      </c>
      <c r="B587" s="25" t="s">
        <v>2572</v>
      </c>
      <c r="C587" s="26" t="s">
        <v>2769</v>
      </c>
      <c r="D587" s="26" t="s">
        <v>2770</v>
      </c>
      <c r="E587" s="26" t="s">
        <v>2771</v>
      </c>
      <c r="F587" s="26" t="s">
        <v>2772</v>
      </c>
      <c r="G587" s="26" t="s">
        <v>2773</v>
      </c>
      <c r="H587" s="27" t="s">
        <v>161</v>
      </c>
    </row>
    <row r="588">
      <c r="A588" s="24">
        <v>579.0</v>
      </c>
      <c r="B588" s="25" t="s">
        <v>2572</v>
      </c>
      <c r="C588" s="26" t="s">
        <v>2775</v>
      </c>
      <c r="D588" s="26" t="s">
        <v>2776</v>
      </c>
      <c r="E588" s="26" t="s">
        <v>2570</v>
      </c>
      <c r="F588" s="26" t="s">
        <v>2568</v>
      </c>
      <c r="G588" s="26" t="s">
        <v>2777</v>
      </c>
      <c r="H588" s="27" t="s">
        <v>148</v>
      </c>
    </row>
    <row r="589">
      <c r="A589" s="24">
        <v>580.0</v>
      </c>
      <c r="B589" s="25" t="s">
        <v>2572</v>
      </c>
      <c r="C589" s="26" t="s">
        <v>2778</v>
      </c>
      <c r="D589" s="26">
        <v>1.0</v>
      </c>
      <c r="E589" s="26">
        <v>2.0</v>
      </c>
      <c r="F589" s="26">
        <v>3.0</v>
      </c>
      <c r="G589" s="26">
        <v>4.0</v>
      </c>
      <c r="H589" s="27" t="s">
        <v>161</v>
      </c>
    </row>
    <row r="590">
      <c r="A590" s="24">
        <v>581.0</v>
      </c>
      <c r="B590" s="25" t="s">
        <v>2572</v>
      </c>
      <c r="C590" s="26" t="s">
        <v>2779</v>
      </c>
      <c r="D590" s="26" t="s">
        <v>2780</v>
      </c>
      <c r="E590" s="26" t="s">
        <v>2781</v>
      </c>
      <c r="F590" s="26" t="s">
        <v>2782</v>
      </c>
      <c r="G590" s="26" t="s">
        <v>2783</v>
      </c>
      <c r="H590" s="27" t="s">
        <v>148</v>
      </c>
    </row>
    <row r="591">
      <c r="A591" s="24">
        <v>582.0</v>
      </c>
      <c r="B591" s="25" t="s">
        <v>2572</v>
      </c>
      <c r="C591" s="26" t="s">
        <v>2784</v>
      </c>
      <c r="D591" s="26" t="s">
        <v>2785</v>
      </c>
      <c r="E591" s="26" t="s">
        <v>2786</v>
      </c>
      <c r="F591" s="26" t="s">
        <v>2787</v>
      </c>
      <c r="G591" s="26" t="s">
        <v>2783</v>
      </c>
      <c r="H591" s="27" t="s">
        <v>161</v>
      </c>
    </row>
    <row r="592">
      <c r="A592" s="24">
        <v>583.0</v>
      </c>
      <c r="B592" s="25" t="s">
        <v>2572</v>
      </c>
      <c r="C592" s="26" t="s">
        <v>2789</v>
      </c>
      <c r="D592" s="26" t="s">
        <v>2759</v>
      </c>
      <c r="E592" s="26" t="s">
        <v>2790</v>
      </c>
      <c r="F592" s="26" t="s">
        <v>2756</v>
      </c>
      <c r="G592" s="26" t="s">
        <v>2791</v>
      </c>
      <c r="H592" s="27" t="s">
        <v>148</v>
      </c>
    </row>
    <row r="593">
      <c r="A593" s="24">
        <v>584.0</v>
      </c>
      <c r="B593" s="25" t="s">
        <v>2572</v>
      </c>
      <c r="C593" s="26" t="s">
        <v>2792</v>
      </c>
      <c r="D593" s="26" t="s">
        <v>2793</v>
      </c>
      <c r="E593" s="26" t="s">
        <v>2794</v>
      </c>
      <c r="F593" s="26" t="s">
        <v>2795</v>
      </c>
      <c r="G593" s="26" t="s">
        <v>2796</v>
      </c>
      <c r="H593" s="27" t="s">
        <v>148</v>
      </c>
    </row>
    <row r="594">
      <c r="A594" s="24">
        <v>585.0</v>
      </c>
      <c r="B594" s="25" t="s">
        <v>2572</v>
      </c>
      <c r="C594" s="26" t="s">
        <v>2797</v>
      </c>
      <c r="D594" s="26" t="s">
        <v>2798</v>
      </c>
      <c r="E594" s="26" t="s">
        <v>2799</v>
      </c>
      <c r="F594" s="26" t="s">
        <v>2800</v>
      </c>
      <c r="G594" s="26" t="s">
        <v>2801</v>
      </c>
      <c r="H594" s="27" t="s">
        <v>148</v>
      </c>
    </row>
    <row r="595">
      <c r="A595" s="24">
        <v>586.0</v>
      </c>
      <c r="B595" s="25" t="s">
        <v>2572</v>
      </c>
      <c r="C595" s="26" t="s">
        <v>2802</v>
      </c>
      <c r="D595" s="26" t="s">
        <v>2803</v>
      </c>
      <c r="E595" s="26" t="s">
        <v>2804</v>
      </c>
      <c r="F595" s="26" t="s">
        <v>2805</v>
      </c>
      <c r="G595" s="26" t="s">
        <v>2806</v>
      </c>
      <c r="H595" s="27" t="s">
        <v>161</v>
      </c>
    </row>
    <row r="596">
      <c r="A596" s="24">
        <v>587.0</v>
      </c>
      <c r="B596" s="25" t="s">
        <v>2572</v>
      </c>
      <c r="C596" s="26" t="s">
        <v>2807</v>
      </c>
      <c r="D596" s="26" t="s">
        <v>2808</v>
      </c>
      <c r="E596" s="26" t="s">
        <v>2809</v>
      </c>
      <c r="F596" s="26" t="s">
        <v>2810</v>
      </c>
      <c r="G596" s="26" t="s">
        <v>299</v>
      </c>
      <c r="H596" s="27" t="s">
        <v>154</v>
      </c>
    </row>
    <row r="597">
      <c r="A597" s="24">
        <v>588.0</v>
      </c>
      <c r="B597" s="25" t="s">
        <v>2572</v>
      </c>
      <c r="C597" s="26" t="s">
        <v>2811</v>
      </c>
      <c r="D597" s="26" t="s">
        <v>2812</v>
      </c>
      <c r="E597" s="26" t="s">
        <v>2813</v>
      </c>
      <c r="F597" s="26" t="s">
        <v>2815</v>
      </c>
      <c r="G597" s="26" t="s">
        <v>2816</v>
      </c>
      <c r="H597" s="27" t="s">
        <v>148</v>
      </c>
    </row>
    <row r="598">
      <c r="A598" s="24">
        <v>589.0</v>
      </c>
      <c r="B598" s="25" t="s">
        <v>2572</v>
      </c>
      <c r="C598" s="26" t="s">
        <v>2817</v>
      </c>
      <c r="D598" s="26" t="s">
        <v>2818</v>
      </c>
      <c r="E598" s="26" t="s">
        <v>2819</v>
      </c>
      <c r="F598" s="26" t="s">
        <v>2820</v>
      </c>
      <c r="G598" s="26" t="s">
        <v>2821</v>
      </c>
      <c r="H598" s="27" t="s">
        <v>161</v>
      </c>
    </row>
    <row r="599">
      <c r="A599" s="24">
        <v>590.0</v>
      </c>
      <c r="B599" s="25" t="s">
        <v>2572</v>
      </c>
      <c r="C599" s="26" t="s">
        <v>2822</v>
      </c>
      <c r="D599" s="26" t="s">
        <v>2823</v>
      </c>
      <c r="E599" s="26" t="s">
        <v>2824</v>
      </c>
      <c r="F599" s="26" t="s">
        <v>2826</v>
      </c>
      <c r="G599" s="26" t="s">
        <v>2827</v>
      </c>
      <c r="H599" s="27" t="s">
        <v>173</v>
      </c>
    </row>
    <row r="600">
      <c r="A600" s="24">
        <v>591.0</v>
      </c>
      <c r="B600" s="25" t="s">
        <v>2572</v>
      </c>
      <c r="C600" s="26" t="s">
        <v>2828</v>
      </c>
      <c r="D600" s="26" t="s">
        <v>2829</v>
      </c>
      <c r="E600" s="26" t="s">
        <v>2830</v>
      </c>
      <c r="F600" s="26" t="s">
        <v>2831</v>
      </c>
      <c r="G600" s="26" t="s">
        <v>2832</v>
      </c>
      <c r="H600" s="27" t="s">
        <v>161</v>
      </c>
    </row>
    <row r="601">
      <c r="A601" s="24">
        <v>592.0</v>
      </c>
      <c r="B601" s="25" t="s">
        <v>2572</v>
      </c>
      <c r="C601" s="26" t="s">
        <v>2834</v>
      </c>
      <c r="D601" s="26" t="s">
        <v>2835</v>
      </c>
      <c r="E601" s="26" t="s">
        <v>2836</v>
      </c>
      <c r="F601" s="26" t="s">
        <v>2837</v>
      </c>
      <c r="G601" s="26" t="s">
        <v>2838</v>
      </c>
      <c r="H601" s="27" t="s">
        <v>148</v>
      </c>
    </row>
    <row r="602">
      <c r="A602" s="24">
        <v>593.0</v>
      </c>
      <c r="B602" s="25" t="s">
        <v>2572</v>
      </c>
      <c r="C602" s="26" t="s">
        <v>2839</v>
      </c>
      <c r="D602" s="26" t="s">
        <v>2841</v>
      </c>
      <c r="E602" s="26" t="s">
        <v>2842</v>
      </c>
      <c r="F602" s="26" t="s">
        <v>2843</v>
      </c>
      <c r="G602" s="26" t="s">
        <v>2844</v>
      </c>
      <c r="H602" s="27" t="s">
        <v>161</v>
      </c>
    </row>
    <row r="603">
      <c r="A603" s="24">
        <v>594.0</v>
      </c>
      <c r="B603" s="25" t="s">
        <v>2572</v>
      </c>
      <c r="C603" s="26" t="s">
        <v>2845</v>
      </c>
      <c r="D603" s="26" t="s">
        <v>2846</v>
      </c>
      <c r="E603" s="26" t="s">
        <v>2847</v>
      </c>
      <c r="F603" s="26" t="s">
        <v>2848</v>
      </c>
      <c r="G603" s="26" t="s">
        <v>2849</v>
      </c>
      <c r="H603" s="27" t="s">
        <v>148</v>
      </c>
    </row>
    <row r="604">
      <c r="A604" s="24">
        <v>595.0</v>
      </c>
      <c r="B604" s="25" t="s">
        <v>2572</v>
      </c>
      <c r="C604" s="26" t="s">
        <v>2850</v>
      </c>
      <c r="D604" s="26" t="s">
        <v>2851</v>
      </c>
      <c r="E604" s="26" t="s">
        <v>2852</v>
      </c>
      <c r="F604" s="26" t="s">
        <v>2853</v>
      </c>
      <c r="G604" s="26" t="s">
        <v>2854</v>
      </c>
      <c r="H604" s="27" t="s">
        <v>161</v>
      </c>
    </row>
    <row r="605">
      <c r="A605" s="24">
        <v>596.0</v>
      </c>
      <c r="B605" s="25" t="s">
        <v>2572</v>
      </c>
      <c r="C605" s="26" t="s">
        <v>2855</v>
      </c>
      <c r="D605" s="26" t="s">
        <v>2856</v>
      </c>
      <c r="E605" s="26" t="s">
        <v>2857</v>
      </c>
      <c r="F605" s="26" t="s">
        <v>2858</v>
      </c>
      <c r="G605" s="26" t="s">
        <v>2859</v>
      </c>
      <c r="H605" s="27" t="s">
        <v>161</v>
      </c>
    </row>
    <row r="606">
      <c r="A606" s="24">
        <v>597.0</v>
      </c>
      <c r="B606" s="25" t="s">
        <v>2572</v>
      </c>
      <c r="C606" s="26" t="s">
        <v>2860</v>
      </c>
      <c r="D606" s="26" t="s">
        <v>2861</v>
      </c>
      <c r="E606" s="26" t="s">
        <v>2862</v>
      </c>
      <c r="F606" s="26" t="s">
        <v>2863</v>
      </c>
      <c r="G606" s="26" t="s">
        <v>2864</v>
      </c>
      <c r="H606" s="27" t="s">
        <v>161</v>
      </c>
    </row>
    <row r="607">
      <c r="A607" s="24">
        <v>598.0</v>
      </c>
      <c r="B607" s="25" t="s">
        <v>2572</v>
      </c>
      <c r="C607" s="26" t="s">
        <v>2865</v>
      </c>
      <c r="D607" s="26" t="s">
        <v>2866</v>
      </c>
      <c r="E607" s="26" t="s">
        <v>2867</v>
      </c>
      <c r="F607" s="26" t="s">
        <v>2868</v>
      </c>
      <c r="G607" s="26" t="s">
        <v>2869</v>
      </c>
      <c r="H607" s="27" t="s">
        <v>161</v>
      </c>
    </row>
    <row r="608">
      <c r="A608" s="24">
        <v>599.0</v>
      </c>
      <c r="B608" s="25" t="s">
        <v>2572</v>
      </c>
      <c r="C608" s="26" t="s">
        <v>2870</v>
      </c>
      <c r="D608" s="26" t="s">
        <v>2871</v>
      </c>
      <c r="E608" s="26" t="s">
        <v>2872</v>
      </c>
      <c r="F608" s="26" t="s">
        <v>2873</v>
      </c>
      <c r="G608" s="26" t="s">
        <v>2874</v>
      </c>
      <c r="H608" s="27" t="s">
        <v>173</v>
      </c>
    </row>
    <row r="609">
      <c r="A609" s="24">
        <v>600.0</v>
      </c>
      <c r="B609" s="25" t="s">
        <v>2572</v>
      </c>
      <c r="C609" s="26" t="s">
        <v>2875</v>
      </c>
      <c r="D609" s="26" t="s">
        <v>2876</v>
      </c>
      <c r="E609" s="26" t="s">
        <v>2877</v>
      </c>
      <c r="F609" s="26" t="s">
        <v>2878</v>
      </c>
      <c r="G609" s="26" t="s">
        <v>2879</v>
      </c>
      <c r="H609" s="27" t="s">
        <v>161</v>
      </c>
    </row>
    <row r="610">
      <c r="A610" s="24">
        <v>601.0</v>
      </c>
      <c r="B610" s="25" t="s">
        <v>2572</v>
      </c>
      <c r="C610" s="26" t="s">
        <v>2880</v>
      </c>
      <c r="D610" s="26" t="s">
        <v>2881</v>
      </c>
      <c r="E610" s="26" t="s">
        <v>2882</v>
      </c>
      <c r="F610" s="26" t="s">
        <v>2883</v>
      </c>
      <c r="G610" s="26" t="s">
        <v>2884</v>
      </c>
      <c r="H610" s="27" t="s">
        <v>173</v>
      </c>
    </row>
    <row r="611">
      <c r="A611" s="24">
        <v>602.0</v>
      </c>
      <c r="B611" s="25" t="s">
        <v>2572</v>
      </c>
      <c r="C611" s="26" t="s">
        <v>2886</v>
      </c>
      <c r="D611" s="26" t="s">
        <v>2887</v>
      </c>
      <c r="E611" s="26" t="s">
        <v>2888</v>
      </c>
      <c r="F611" s="26" t="s">
        <v>2889</v>
      </c>
      <c r="G611" s="26" t="s">
        <v>2890</v>
      </c>
      <c r="H611" s="27" t="s">
        <v>154</v>
      </c>
    </row>
    <row r="612">
      <c r="A612" s="24">
        <v>603.0</v>
      </c>
      <c r="B612" s="25" t="s">
        <v>2572</v>
      </c>
      <c r="C612" s="26" t="s">
        <v>2891</v>
      </c>
      <c r="D612" s="26" t="s">
        <v>2892</v>
      </c>
      <c r="E612" s="26" t="s">
        <v>2893</v>
      </c>
      <c r="F612" s="26" t="s">
        <v>2894</v>
      </c>
      <c r="G612" s="26" t="s">
        <v>2895</v>
      </c>
      <c r="H612" s="27" t="s">
        <v>173</v>
      </c>
    </row>
    <row r="613">
      <c r="A613" s="24">
        <v>604.0</v>
      </c>
      <c r="B613" s="25" t="s">
        <v>2572</v>
      </c>
      <c r="C613" s="26" t="s">
        <v>2896</v>
      </c>
      <c r="D613" s="26" t="s">
        <v>2898</v>
      </c>
      <c r="E613" s="26" t="s">
        <v>2899</v>
      </c>
      <c r="F613" s="26" t="s">
        <v>2900</v>
      </c>
      <c r="G613" s="26" t="s">
        <v>2901</v>
      </c>
      <c r="H613" s="27" t="s">
        <v>161</v>
      </c>
    </row>
    <row r="614">
      <c r="A614" s="24">
        <v>605.0</v>
      </c>
      <c r="B614" s="25" t="s">
        <v>2572</v>
      </c>
      <c r="C614" s="26" t="s">
        <v>2903</v>
      </c>
      <c r="D614" s="26" t="s">
        <v>1329</v>
      </c>
      <c r="E614" s="26" t="s">
        <v>2904</v>
      </c>
      <c r="F614" s="26" t="s">
        <v>2905</v>
      </c>
      <c r="G614" s="26" t="s">
        <v>2906</v>
      </c>
      <c r="H614" s="27" t="s">
        <v>161</v>
      </c>
    </row>
    <row r="615">
      <c r="A615" s="24">
        <v>606.0</v>
      </c>
      <c r="B615" s="25" t="s">
        <v>2572</v>
      </c>
      <c r="C615" s="26" t="s">
        <v>2907</v>
      </c>
      <c r="D615" s="26" t="s">
        <v>2908</v>
      </c>
      <c r="E615" s="26" t="s">
        <v>2909</v>
      </c>
      <c r="F615" s="26" t="s">
        <v>2910</v>
      </c>
      <c r="G615" s="26" t="s">
        <v>2911</v>
      </c>
      <c r="H615" s="27" t="s">
        <v>148</v>
      </c>
    </row>
    <row r="616">
      <c r="A616" s="24">
        <v>607.0</v>
      </c>
      <c r="B616" s="25" t="s">
        <v>2572</v>
      </c>
      <c r="C616" s="26" t="s">
        <v>2912</v>
      </c>
      <c r="D616" s="26" t="s">
        <v>2913</v>
      </c>
      <c r="E616" s="26" t="s">
        <v>2914</v>
      </c>
      <c r="F616" s="26" t="s">
        <v>2915</v>
      </c>
      <c r="G616" s="26" t="s">
        <v>2916</v>
      </c>
      <c r="H616" s="27" t="s">
        <v>154</v>
      </c>
    </row>
    <row r="617">
      <c r="A617" s="24">
        <v>608.0</v>
      </c>
      <c r="B617" s="25" t="s">
        <v>2572</v>
      </c>
      <c r="C617" s="26" t="s">
        <v>2917</v>
      </c>
      <c r="D617" s="26" t="s">
        <v>2918</v>
      </c>
      <c r="E617" s="26" t="s">
        <v>2919</v>
      </c>
      <c r="F617" s="26" t="s">
        <v>2920</v>
      </c>
      <c r="G617" s="26" t="s">
        <v>2921</v>
      </c>
      <c r="H617" s="27" t="s">
        <v>173</v>
      </c>
    </row>
    <row r="618">
      <c r="A618" s="24">
        <v>609.0</v>
      </c>
      <c r="B618" s="25" t="s">
        <v>2572</v>
      </c>
      <c r="C618" s="26" t="s">
        <v>2922</v>
      </c>
      <c r="D618" s="26" t="s">
        <v>2923</v>
      </c>
      <c r="E618" s="26" t="s">
        <v>2924</v>
      </c>
      <c r="F618" s="26" t="s">
        <v>2925</v>
      </c>
      <c r="G618" s="26" t="s">
        <v>2926</v>
      </c>
      <c r="H618" s="27" t="s">
        <v>148</v>
      </c>
    </row>
    <row r="619">
      <c r="A619" s="24">
        <v>610.0</v>
      </c>
      <c r="B619" s="25" t="s">
        <v>2572</v>
      </c>
      <c r="C619" s="26" t="s">
        <v>2927</v>
      </c>
      <c r="D619" s="26" t="s">
        <v>414</v>
      </c>
      <c r="E619" s="26" t="s">
        <v>2929</v>
      </c>
      <c r="F619" s="26" t="s">
        <v>2930</v>
      </c>
      <c r="G619" s="26" t="s">
        <v>2931</v>
      </c>
      <c r="H619" s="27" t="s">
        <v>173</v>
      </c>
    </row>
    <row r="620">
      <c r="A620" s="24">
        <v>611.0</v>
      </c>
      <c r="B620" s="25" t="s">
        <v>2572</v>
      </c>
      <c r="C620" s="26" t="s">
        <v>2932</v>
      </c>
      <c r="D620" s="26" t="s">
        <v>414</v>
      </c>
      <c r="E620" s="26" t="s">
        <v>2929</v>
      </c>
      <c r="F620" s="26" t="s">
        <v>2930</v>
      </c>
      <c r="G620" s="26" t="s">
        <v>2931</v>
      </c>
      <c r="H620" s="27" t="s">
        <v>154</v>
      </c>
    </row>
    <row r="621">
      <c r="A621" s="24">
        <v>612.0</v>
      </c>
      <c r="B621" s="25" t="s">
        <v>2572</v>
      </c>
      <c r="C621" s="26" t="s">
        <v>2933</v>
      </c>
      <c r="D621" s="26" t="s">
        <v>2934</v>
      </c>
      <c r="E621" s="26" t="s">
        <v>2935</v>
      </c>
      <c r="F621" s="26" t="s">
        <v>2936</v>
      </c>
      <c r="G621" s="26" t="s">
        <v>2937</v>
      </c>
      <c r="H621" s="27" t="s">
        <v>161</v>
      </c>
    </row>
    <row r="622">
      <c r="A622" s="24">
        <v>613.0</v>
      </c>
      <c r="B622" s="25" t="s">
        <v>2572</v>
      </c>
      <c r="C622" s="26" t="s">
        <v>2938</v>
      </c>
      <c r="D622" s="26" t="s">
        <v>2939</v>
      </c>
      <c r="E622" s="26" t="s">
        <v>2940</v>
      </c>
      <c r="F622" s="26" t="s">
        <v>2941</v>
      </c>
      <c r="G622" s="26" t="s">
        <v>2942</v>
      </c>
      <c r="H622" s="27" t="s">
        <v>173</v>
      </c>
    </row>
    <row r="623">
      <c r="A623" s="24">
        <v>614.0</v>
      </c>
      <c r="B623" s="25" t="s">
        <v>2572</v>
      </c>
      <c r="C623" s="26" t="s">
        <v>2943</v>
      </c>
      <c r="D623" s="26" t="s">
        <v>2944</v>
      </c>
      <c r="E623" s="26" t="s">
        <v>2946</v>
      </c>
      <c r="F623" s="26" t="s">
        <v>2810</v>
      </c>
      <c r="G623" s="26" t="s">
        <v>2947</v>
      </c>
      <c r="H623" s="27" t="s">
        <v>173</v>
      </c>
    </row>
    <row r="624">
      <c r="A624" s="24">
        <v>615.0</v>
      </c>
      <c r="B624" s="25" t="s">
        <v>2572</v>
      </c>
      <c r="C624" s="26" t="s">
        <v>2948</v>
      </c>
      <c r="D624" s="26" t="s">
        <v>2949</v>
      </c>
      <c r="E624" s="26" t="s">
        <v>2950</v>
      </c>
      <c r="F624" s="26" t="s">
        <v>2951</v>
      </c>
      <c r="G624" s="26" t="s">
        <v>2952</v>
      </c>
      <c r="H624" s="27" t="s">
        <v>161</v>
      </c>
    </row>
    <row r="625">
      <c r="A625" s="24">
        <v>616.0</v>
      </c>
      <c r="B625" s="25" t="s">
        <v>2572</v>
      </c>
      <c r="C625" s="26" t="s">
        <v>2953</v>
      </c>
      <c r="D625" s="26" t="s">
        <v>2954</v>
      </c>
      <c r="E625" s="26" t="s">
        <v>2955</v>
      </c>
      <c r="F625" s="26" t="s">
        <v>2956</v>
      </c>
      <c r="G625" s="26" t="s">
        <v>2957</v>
      </c>
      <c r="H625" s="27" t="s">
        <v>161</v>
      </c>
    </row>
    <row r="626">
      <c r="A626" s="24">
        <v>617.0</v>
      </c>
      <c r="B626" s="25" t="s">
        <v>2572</v>
      </c>
      <c r="C626" s="26" t="s">
        <v>2959</v>
      </c>
      <c r="D626" s="26">
        <v>2.0</v>
      </c>
      <c r="E626" s="26">
        <v>3.0</v>
      </c>
      <c r="F626" s="26">
        <v>4.0</v>
      </c>
      <c r="G626" s="26">
        <v>1.0</v>
      </c>
      <c r="H626" s="27" t="s">
        <v>161</v>
      </c>
    </row>
    <row r="627">
      <c r="A627" s="24">
        <v>618.0</v>
      </c>
      <c r="B627" s="25" t="s">
        <v>2572</v>
      </c>
      <c r="C627" s="26" t="s">
        <v>2960</v>
      </c>
      <c r="D627" s="26" t="s">
        <v>2961</v>
      </c>
      <c r="E627" s="26" t="s">
        <v>2962</v>
      </c>
      <c r="F627" s="26" t="s">
        <v>2963</v>
      </c>
      <c r="G627" s="26" t="s">
        <v>2964</v>
      </c>
      <c r="H627" s="27" t="s">
        <v>148</v>
      </c>
    </row>
    <row r="628">
      <c r="A628" s="24">
        <v>619.0</v>
      </c>
      <c r="B628" s="25" t="s">
        <v>2572</v>
      </c>
      <c r="C628" s="26" t="s">
        <v>2965</v>
      </c>
      <c r="D628" s="26" t="s">
        <v>2966</v>
      </c>
      <c r="E628" s="26" t="s">
        <v>2967</v>
      </c>
      <c r="F628" s="26" t="s">
        <v>2777</v>
      </c>
      <c r="G628" s="26" t="s">
        <v>2968</v>
      </c>
      <c r="H628" s="27" t="s">
        <v>173</v>
      </c>
    </row>
    <row r="629">
      <c r="A629" s="24">
        <v>620.0</v>
      </c>
      <c r="B629" s="25" t="s">
        <v>2572</v>
      </c>
      <c r="C629" s="26" t="s">
        <v>2969</v>
      </c>
      <c r="D629" s="26" t="s">
        <v>2970</v>
      </c>
      <c r="E629" s="26" t="s">
        <v>2971</v>
      </c>
      <c r="F629" s="26" t="s">
        <v>2972</v>
      </c>
      <c r="G629" s="26" t="s">
        <v>2973</v>
      </c>
      <c r="H629" s="27" t="s">
        <v>154</v>
      </c>
    </row>
    <row r="630">
      <c r="A630" s="24">
        <v>621.0</v>
      </c>
      <c r="B630" s="25" t="s">
        <v>2572</v>
      </c>
      <c r="C630" s="26" t="s">
        <v>2974</v>
      </c>
      <c r="D630" s="26" t="s">
        <v>2975</v>
      </c>
      <c r="E630" s="26" t="s">
        <v>2976</v>
      </c>
      <c r="F630" s="26" t="s">
        <v>2977</v>
      </c>
      <c r="G630" s="26" t="s">
        <v>2978</v>
      </c>
      <c r="H630" s="27" t="s">
        <v>161</v>
      </c>
    </row>
    <row r="631">
      <c r="A631" s="24">
        <v>622.0</v>
      </c>
      <c r="B631" s="25" t="s">
        <v>2572</v>
      </c>
      <c r="C631" s="26" t="s">
        <v>2979</v>
      </c>
      <c r="D631" s="26" t="s">
        <v>2980</v>
      </c>
      <c r="E631" s="26" t="s">
        <v>2981</v>
      </c>
      <c r="F631" s="26" t="s">
        <v>2982</v>
      </c>
      <c r="G631" s="26" t="s">
        <v>2983</v>
      </c>
      <c r="H631" s="27" t="s">
        <v>161</v>
      </c>
    </row>
    <row r="632">
      <c r="A632" s="24">
        <v>623.0</v>
      </c>
      <c r="B632" s="25" t="s">
        <v>2572</v>
      </c>
      <c r="C632" s="26" t="s">
        <v>2984</v>
      </c>
      <c r="D632" s="26" t="s">
        <v>2593</v>
      </c>
      <c r="E632" s="26" t="s">
        <v>2594</v>
      </c>
      <c r="F632" s="26" t="s">
        <v>2985</v>
      </c>
      <c r="G632" s="26" t="s">
        <v>2986</v>
      </c>
      <c r="H632" s="27" t="s">
        <v>148</v>
      </c>
    </row>
    <row r="633">
      <c r="A633" s="24">
        <v>624.0</v>
      </c>
      <c r="B633" s="25" t="s">
        <v>2572</v>
      </c>
      <c r="C633" s="26" t="s">
        <v>2988</v>
      </c>
      <c r="D633" s="26" t="s">
        <v>2989</v>
      </c>
      <c r="E633" s="26" t="s">
        <v>2990</v>
      </c>
      <c r="F633" s="26" t="s">
        <v>2991</v>
      </c>
      <c r="G633" s="26" t="s">
        <v>2777</v>
      </c>
      <c r="H633" s="27" t="s">
        <v>173</v>
      </c>
    </row>
    <row r="634">
      <c r="A634" s="24">
        <v>625.0</v>
      </c>
      <c r="B634" s="25" t="s">
        <v>2572</v>
      </c>
      <c r="C634" s="26" t="s">
        <v>2992</v>
      </c>
      <c r="D634" s="26" t="s">
        <v>2993</v>
      </c>
      <c r="E634" s="26" t="s">
        <v>2994</v>
      </c>
      <c r="F634" s="26" t="s">
        <v>2995</v>
      </c>
      <c r="G634" s="26" t="s">
        <v>2996</v>
      </c>
      <c r="H634" s="27" t="s">
        <v>154</v>
      </c>
    </row>
    <row r="635">
      <c r="A635" s="24">
        <v>626.0</v>
      </c>
      <c r="B635" s="25" t="s">
        <v>2572</v>
      </c>
      <c r="C635" s="26" t="s">
        <v>2997</v>
      </c>
      <c r="D635" s="26" t="s">
        <v>2998</v>
      </c>
      <c r="E635" s="26" t="s">
        <v>2999</v>
      </c>
      <c r="F635" s="26" t="s">
        <v>3000</v>
      </c>
      <c r="G635" s="26" t="s">
        <v>2777</v>
      </c>
      <c r="H635" s="27" t="s">
        <v>161</v>
      </c>
    </row>
    <row r="636">
      <c r="A636" s="24">
        <v>627.0</v>
      </c>
      <c r="B636" s="25" t="s">
        <v>2572</v>
      </c>
      <c r="C636" s="26" t="s">
        <v>3001</v>
      </c>
      <c r="D636" s="26" t="s">
        <v>3002</v>
      </c>
      <c r="E636" s="26" t="s">
        <v>3003</v>
      </c>
      <c r="F636" s="26" t="s">
        <v>3004</v>
      </c>
      <c r="G636" s="26" t="s">
        <v>3005</v>
      </c>
      <c r="H636" s="27" t="s">
        <v>173</v>
      </c>
    </row>
    <row r="637">
      <c r="A637" s="24">
        <v>628.0</v>
      </c>
      <c r="B637" s="25" t="s">
        <v>2572</v>
      </c>
      <c r="C637" s="26" t="s">
        <v>3006</v>
      </c>
      <c r="D637" s="26" t="s">
        <v>3007</v>
      </c>
      <c r="E637" s="26" t="s">
        <v>2549</v>
      </c>
      <c r="F637" s="26" t="s">
        <v>3008</v>
      </c>
      <c r="G637" s="26" t="s">
        <v>2777</v>
      </c>
      <c r="H637" s="27" t="s">
        <v>173</v>
      </c>
    </row>
    <row r="638">
      <c r="A638" s="21" t="s">
        <v>3009</v>
      </c>
      <c r="B638" s="22"/>
      <c r="C638" s="22"/>
      <c r="D638" s="22"/>
      <c r="E638" s="22"/>
      <c r="F638" s="22"/>
      <c r="G638" s="22"/>
      <c r="H638" s="23"/>
    </row>
    <row r="639">
      <c r="A639" s="24">
        <v>629.0</v>
      </c>
      <c r="B639" s="25" t="s">
        <v>3011</v>
      </c>
      <c r="C639" s="26" t="s">
        <v>3012</v>
      </c>
      <c r="D639" s="26" t="s">
        <v>3013</v>
      </c>
      <c r="E639" s="26" t="s">
        <v>3014</v>
      </c>
      <c r="F639" s="26" t="s">
        <v>3015</v>
      </c>
      <c r="G639" s="26" t="s">
        <v>3016</v>
      </c>
      <c r="H639" s="27" t="s">
        <v>154</v>
      </c>
    </row>
    <row r="640">
      <c r="A640" s="24">
        <v>630.0</v>
      </c>
      <c r="B640" s="25" t="s">
        <v>3011</v>
      </c>
      <c r="C640" s="26" t="s">
        <v>3017</v>
      </c>
      <c r="D640" s="26" t="s">
        <v>3018</v>
      </c>
      <c r="E640" s="26" t="s">
        <v>3019</v>
      </c>
      <c r="F640" s="26" t="s">
        <v>3020</v>
      </c>
      <c r="G640" s="26" t="s">
        <v>3021</v>
      </c>
      <c r="H640" s="27" t="s">
        <v>161</v>
      </c>
    </row>
    <row r="641">
      <c r="A641" s="24">
        <v>631.0</v>
      </c>
      <c r="B641" s="25" t="s">
        <v>3011</v>
      </c>
      <c r="C641" s="26" t="s">
        <v>3022</v>
      </c>
      <c r="D641" s="26" t="s">
        <v>3023</v>
      </c>
      <c r="E641" s="26" t="s">
        <v>3024</v>
      </c>
      <c r="F641" s="26" t="s">
        <v>3025</v>
      </c>
      <c r="G641" s="26" t="s">
        <v>3026</v>
      </c>
      <c r="H641" s="27" t="s">
        <v>161</v>
      </c>
    </row>
    <row r="642">
      <c r="A642" s="24">
        <v>632.0</v>
      </c>
      <c r="B642" s="25" t="s">
        <v>3011</v>
      </c>
      <c r="C642" s="26" t="s">
        <v>3027</v>
      </c>
      <c r="D642" s="26" t="s">
        <v>3028</v>
      </c>
      <c r="E642" s="26" t="s">
        <v>3029</v>
      </c>
      <c r="F642" s="26" t="s">
        <v>3030</v>
      </c>
      <c r="G642" s="26" t="s">
        <v>3031</v>
      </c>
      <c r="H642" s="27" t="s">
        <v>148</v>
      </c>
    </row>
    <row r="643">
      <c r="A643" s="24">
        <v>633.0</v>
      </c>
      <c r="B643" s="25" t="s">
        <v>3011</v>
      </c>
      <c r="C643" s="26" t="s">
        <v>3032</v>
      </c>
      <c r="D643" s="26" t="s">
        <v>2318</v>
      </c>
      <c r="E643" s="26" t="s">
        <v>3033</v>
      </c>
      <c r="F643" s="26" t="s">
        <v>3034</v>
      </c>
      <c r="G643" s="26" t="s">
        <v>3035</v>
      </c>
      <c r="H643" s="27" t="s">
        <v>161</v>
      </c>
    </row>
    <row r="644">
      <c r="A644" s="24">
        <v>634.0</v>
      </c>
      <c r="B644" s="25" t="s">
        <v>3011</v>
      </c>
      <c r="C644" s="26" t="s">
        <v>3036</v>
      </c>
      <c r="D644" s="26" t="s">
        <v>2318</v>
      </c>
      <c r="E644" s="26" t="s">
        <v>3035</v>
      </c>
      <c r="F644" s="26" t="s">
        <v>3034</v>
      </c>
      <c r="G644" s="26" t="s">
        <v>2954</v>
      </c>
      <c r="H644" s="27" t="s">
        <v>161</v>
      </c>
    </row>
    <row r="645">
      <c r="A645" s="24">
        <v>635.0</v>
      </c>
      <c r="B645" s="25" t="s">
        <v>3011</v>
      </c>
      <c r="C645" s="26" t="s">
        <v>3037</v>
      </c>
      <c r="D645" s="26" t="s">
        <v>3038</v>
      </c>
      <c r="E645" s="26" t="s">
        <v>3039</v>
      </c>
      <c r="F645" s="26" t="s">
        <v>3040</v>
      </c>
      <c r="G645" s="26" t="s">
        <v>3041</v>
      </c>
      <c r="H645" s="27" t="s">
        <v>161</v>
      </c>
    </row>
    <row r="646">
      <c r="A646" s="24">
        <v>636.0</v>
      </c>
      <c r="B646" s="25" t="s">
        <v>3011</v>
      </c>
      <c r="C646" s="26" t="s">
        <v>3042</v>
      </c>
      <c r="D646" s="26" t="s">
        <v>3043</v>
      </c>
      <c r="E646" s="26" t="s">
        <v>3044</v>
      </c>
      <c r="F646" s="26" t="s">
        <v>3045</v>
      </c>
      <c r="G646" s="26" t="s">
        <v>3047</v>
      </c>
      <c r="H646" s="27" t="s">
        <v>148</v>
      </c>
    </row>
    <row r="647">
      <c r="A647" s="24">
        <v>637.0</v>
      </c>
      <c r="B647" s="25" t="s">
        <v>3011</v>
      </c>
      <c r="C647" s="26" t="s">
        <v>3048</v>
      </c>
      <c r="D647" s="26" t="s">
        <v>3049</v>
      </c>
      <c r="E647" s="26" t="s">
        <v>3050</v>
      </c>
      <c r="F647" s="26" t="s">
        <v>3051</v>
      </c>
      <c r="G647" s="26" t="s">
        <v>3052</v>
      </c>
      <c r="H647" s="27" t="s">
        <v>161</v>
      </c>
    </row>
    <row r="648">
      <c r="A648" s="24">
        <v>638.0</v>
      </c>
      <c r="B648" s="25" t="s">
        <v>3011</v>
      </c>
      <c r="C648" s="26" t="s">
        <v>3053</v>
      </c>
      <c r="D648" s="26" t="s">
        <v>3054</v>
      </c>
      <c r="E648" s="26" t="s">
        <v>3055</v>
      </c>
      <c r="F648" s="26" t="s">
        <v>3056</v>
      </c>
      <c r="G648" s="26" t="s">
        <v>3057</v>
      </c>
      <c r="H648" s="27" t="s">
        <v>148</v>
      </c>
    </row>
    <row r="649">
      <c r="A649" s="24">
        <v>639.0</v>
      </c>
      <c r="B649" s="25" t="s">
        <v>3011</v>
      </c>
      <c r="C649" s="26" t="s">
        <v>3058</v>
      </c>
      <c r="D649" s="26">
        <v>2005.0</v>
      </c>
      <c r="E649" s="26">
        <v>2007.0</v>
      </c>
      <c r="F649" s="26">
        <v>2009.0</v>
      </c>
      <c r="G649" s="26">
        <v>2011.0</v>
      </c>
      <c r="H649" s="27" t="s">
        <v>161</v>
      </c>
    </row>
    <row r="650">
      <c r="A650" s="24">
        <v>640.0</v>
      </c>
      <c r="B650" s="25" t="s">
        <v>3011</v>
      </c>
      <c r="C650" s="26" t="s">
        <v>3059</v>
      </c>
      <c r="D650" s="26" t="s">
        <v>3060</v>
      </c>
      <c r="E650" s="26" t="s">
        <v>3061</v>
      </c>
      <c r="F650" s="26" t="s">
        <v>3062</v>
      </c>
      <c r="G650" s="26" t="s">
        <v>3063</v>
      </c>
      <c r="H650" s="27" t="s">
        <v>161</v>
      </c>
    </row>
    <row r="651">
      <c r="A651" s="24">
        <v>641.0</v>
      </c>
      <c r="B651" s="25" t="s">
        <v>3011</v>
      </c>
      <c r="C651" s="26" t="s">
        <v>3064</v>
      </c>
      <c r="D651" s="26">
        <v>2008.0</v>
      </c>
      <c r="E651" s="26">
        <v>2009.0</v>
      </c>
      <c r="F651" s="26">
        <v>2010.0</v>
      </c>
      <c r="G651" s="26">
        <v>2011.0</v>
      </c>
      <c r="H651" s="27" t="s">
        <v>154</v>
      </c>
    </row>
    <row r="652">
      <c r="A652" s="24">
        <v>642.0</v>
      </c>
      <c r="B652" s="25" t="s">
        <v>3011</v>
      </c>
      <c r="C652" s="26" t="s">
        <v>3065</v>
      </c>
      <c r="D652" s="26" t="s">
        <v>3066</v>
      </c>
      <c r="E652" s="26" t="s">
        <v>3067</v>
      </c>
      <c r="F652" s="26" t="s">
        <v>3068</v>
      </c>
      <c r="G652" s="26" t="s">
        <v>3069</v>
      </c>
      <c r="H652" s="27" t="s">
        <v>148</v>
      </c>
    </row>
    <row r="653">
      <c r="A653" s="24">
        <v>643.0</v>
      </c>
      <c r="B653" s="25" t="s">
        <v>3011</v>
      </c>
      <c r="C653" s="26" t="s">
        <v>3070</v>
      </c>
      <c r="D653" s="26" t="s">
        <v>3071</v>
      </c>
      <c r="E653" s="26" t="s">
        <v>3072</v>
      </c>
      <c r="F653" s="26" t="s">
        <v>3073</v>
      </c>
      <c r="G653" s="26" t="s">
        <v>3074</v>
      </c>
      <c r="H653" s="27" t="s">
        <v>161</v>
      </c>
    </row>
    <row r="654">
      <c r="A654" s="24">
        <v>644.0</v>
      </c>
      <c r="B654" s="25" t="s">
        <v>3011</v>
      </c>
      <c r="C654" s="26" t="s">
        <v>3075</v>
      </c>
      <c r="D654" s="26" t="s">
        <v>3076</v>
      </c>
      <c r="E654" s="26" t="s">
        <v>3077</v>
      </c>
      <c r="F654" s="26" t="s">
        <v>3078</v>
      </c>
      <c r="G654" s="26" t="s">
        <v>3079</v>
      </c>
      <c r="H654" s="27" t="s">
        <v>161</v>
      </c>
    </row>
    <row r="655">
      <c r="A655" s="24">
        <v>645.0</v>
      </c>
      <c r="B655" s="25" t="s">
        <v>3011</v>
      </c>
      <c r="C655" s="26" t="s">
        <v>3080</v>
      </c>
      <c r="D655" s="26" t="s">
        <v>3081</v>
      </c>
      <c r="E655" s="26" t="s">
        <v>2319</v>
      </c>
      <c r="F655" s="26" t="s">
        <v>3082</v>
      </c>
      <c r="G655" s="26" t="s">
        <v>3035</v>
      </c>
      <c r="H655" s="27" t="s">
        <v>148</v>
      </c>
    </row>
    <row r="656">
      <c r="A656" s="24">
        <v>646.0</v>
      </c>
      <c r="B656" s="25" t="s">
        <v>3011</v>
      </c>
      <c r="C656" s="26" t="s">
        <v>3083</v>
      </c>
      <c r="D656" s="26" t="s">
        <v>3085</v>
      </c>
      <c r="E656" s="26" t="s">
        <v>3086</v>
      </c>
      <c r="F656" s="26" t="s">
        <v>3087</v>
      </c>
      <c r="G656" s="26" t="s">
        <v>2319</v>
      </c>
      <c r="H656" s="27" t="s">
        <v>173</v>
      </c>
    </row>
    <row r="657">
      <c r="A657" s="24">
        <v>647.0</v>
      </c>
      <c r="B657" s="25" t="s">
        <v>3011</v>
      </c>
      <c r="C657" s="26" t="s">
        <v>3088</v>
      </c>
      <c r="D657" s="26" t="s">
        <v>3089</v>
      </c>
      <c r="E657" s="26" t="s">
        <v>3090</v>
      </c>
      <c r="F657" s="26" t="s">
        <v>3091</v>
      </c>
      <c r="G657" s="26" t="s">
        <v>3092</v>
      </c>
      <c r="H657" s="27" t="s">
        <v>161</v>
      </c>
    </row>
    <row r="658">
      <c r="A658" s="24">
        <v>648.0</v>
      </c>
      <c r="B658" s="25" t="s">
        <v>3011</v>
      </c>
      <c r="C658" s="26" t="s">
        <v>3093</v>
      </c>
      <c r="D658" s="26" t="s">
        <v>2119</v>
      </c>
      <c r="E658" s="26" t="s">
        <v>3094</v>
      </c>
      <c r="F658" s="26" t="s">
        <v>392</v>
      </c>
      <c r="G658" s="26" t="s">
        <v>1493</v>
      </c>
      <c r="H658" s="27" t="s">
        <v>173</v>
      </c>
    </row>
    <row r="659">
      <c r="A659" s="24">
        <v>649.0</v>
      </c>
      <c r="B659" s="25" t="s">
        <v>3011</v>
      </c>
      <c r="C659" s="26" t="s">
        <v>3095</v>
      </c>
      <c r="D659" s="26" t="s">
        <v>3096</v>
      </c>
      <c r="E659" s="26" t="s">
        <v>3097</v>
      </c>
      <c r="F659" s="26" t="s">
        <v>3098</v>
      </c>
      <c r="G659" s="26" t="s">
        <v>3099</v>
      </c>
      <c r="H659" s="27" t="s">
        <v>173</v>
      </c>
    </row>
    <row r="660">
      <c r="A660" s="24">
        <v>650.0</v>
      </c>
      <c r="B660" s="25" t="s">
        <v>3011</v>
      </c>
      <c r="C660" s="26" t="s">
        <v>3100</v>
      </c>
      <c r="D660" s="26" t="s">
        <v>3101</v>
      </c>
      <c r="E660" s="26" t="s">
        <v>3102</v>
      </c>
      <c r="F660" s="26" t="s">
        <v>3103</v>
      </c>
      <c r="G660" s="26" t="s">
        <v>3104</v>
      </c>
      <c r="H660" s="27" t="s">
        <v>161</v>
      </c>
    </row>
    <row r="661">
      <c r="A661" s="24">
        <v>651.0</v>
      </c>
      <c r="B661" s="25" t="s">
        <v>3011</v>
      </c>
      <c r="C661" s="26" t="s">
        <v>3105</v>
      </c>
      <c r="D661" s="26" t="s">
        <v>3106</v>
      </c>
      <c r="E661" s="26" t="s">
        <v>3107</v>
      </c>
      <c r="F661" s="26" t="s">
        <v>3108</v>
      </c>
      <c r="G661" s="26" t="s">
        <v>3109</v>
      </c>
      <c r="H661" s="27" t="s">
        <v>148</v>
      </c>
    </row>
    <row r="662">
      <c r="A662" s="24">
        <v>652.0</v>
      </c>
      <c r="B662" s="25" t="s">
        <v>3011</v>
      </c>
      <c r="C662" s="26" t="s">
        <v>3110</v>
      </c>
      <c r="D662" s="26" t="s">
        <v>3111</v>
      </c>
      <c r="E662" s="26" t="s">
        <v>3112</v>
      </c>
      <c r="F662" s="26" t="s">
        <v>3113</v>
      </c>
      <c r="G662" s="26" t="s">
        <v>3114</v>
      </c>
      <c r="H662" s="27" t="s">
        <v>148</v>
      </c>
    </row>
    <row r="663">
      <c r="A663" s="24">
        <v>653.0</v>
      </c>
      <c r="B663" s="25" t="s">
        <v>3011</v>
      </c>
      <c r="C663" s="26" t="s">
        <v>3115</v>
      </c>
      <c r="D663" s="26" t="s">
        <v>3116</v>
      </c>
      <c r="E663" s="26" t="s">
        <v>3117</v>
      </c>
      <c r="F663" s="26" t="s">
        <v>3118</v>
      </c>
      <c r="G663" s="26" t="s">
        <v>3119</v>
      </c>
      <c r="H663" s="27" t="s">
        <v>148</v>
      </c>
    </row>
    <row r="664">
      <c r="A664" s="24">
        <v>654.0</v>
      </c>
      <c r="B664" s="25" t="s">
        <v>3011</v>
      </c>
      <c r="C664" s="26" t="s">
        <v>3120</v>
      </c>
      <c r="D664" s="26" t="s">
        <v>3121</v>
      </c>
      <c r="E664" s="26" t="s">
        <v>3122</v>
      </c>
      <c r="F664" s="26" t="s">
        <v>3106</v>
      </c>
      <c r="G664" s="26" t="s">
        <v>3109</v>
      </c>
      <c r="H664" s="27" t="s">
        <v>161</v>
      </c>
    </row>
    <row r="665">
      <c r="A665" s="24">
        <v>655.0</v>
      </c>
      <c r="B665" s="25" t="s">
        <v>3011</v>
      </c>
      <c r="C665" s="26" t="s">
        <v>3123</v>
      </c>
      <c r="D665" s="26" t="s">
        <v>3124</v>
      </c>
      <c r="E665" s="26" t="s">
        <v>3125</v>
      </c>
      <c r="F665" s="26" t="s">
        <v>3126</v>
      </c>
      <c r="G665" s="26" t="s">
        <v>3127</v>
      </c>
      <c r="H665" s="27" t="s">
        <v>173</v>
      </c>
    </row>
    <row r="666">
      <c r="A666" s="24">
        <v>656.0</v>
      </c>
      <c r="B666" s="25" t="s">
        <v>3011</v>
      </c>
      <c r="C666" s="26" t="s">
        <v>3128</v>
      </c>
      <c r="D666" s="26" t="s">
        <v>3129</v>
      </c>
      <c r="E666" s="26" t="s">
        <v>3130</v>
      </c>
      <c r="F666" s="26" t="s">
        <v>3131</v>
      </c>
      <c r="G666" s="26" t="s">
        <v>3132</v>
      </c>
      <c r="H666" s="27" t="s">
        <v>161</v>
      </c>
    </row>
    <row r="667">
      <c r="A667" s="24">
        <v>657.0</v>
      </c>
      <c r="B667" s="25" t="s">
        <v>3011</v>
      </c>
      <c r="C667" s="26" t="s">
        <v>3133</v>
      </c>
      <c r="D667" s="26" t="s">
        <v>3134</v>
      </c>
      <c r="E667" s="26" t="s">
        <v>3135</v>
      </c>
      <c r="F667" s="26" t="s">
        <v>3136</v>
      </c>
      <c r="G667" s="26" t="s">
        <v>3109</v>
      </c>
      <c r="H667" s="27" t="s">
        <v>161</v>
      </c>
    </row>
    <row r="668">
      <c r="A668" s="24">
        <v>658.0</v>
      </c>
      <c r="B668" s="25" t="s">
        <v>3011</v>
      </c>
      <c r="C668" s="26" t="s">
        <v>3137</v>
      </c>
      <c r="D668" s="26" t="s">
        <v>3138</v>
      </c>
      <c r="E668" s="26" t="s">
        <v>3139</v>
      </c>
      <c r="F668" s="26" t="s">
        <v>3140</v>
      </c>
      <c r="G668" s="26" t="s">
        <v>3141</v>
      </c>
      <c r="H668" s="27" t="s">
        <v>148</v>
      </c>
    </row>
    <row r="669">
      <c r="A669" s="24">
        <v>659.0</v>
      </c>
      <c r="B669" s="25" t="s">
        <v>3011</v>
      </c>
      <c r="C669" s="26" t="s">
        <v>3142</v>
      </c>
      <c r="D669" s="26" t="s">
        <v>3143</v>
      </c>
      <c r="E669" s="26" t="s">
        <v>3144</v>
      </c>
      <c r="F669" s="26" t="s">
        <v>3145</v>
      </c>
      <c r="G669" s="26" t="s">
        <v>3146</v>
      </c>
      <c r="H669" s="27" t="s">
        <v>148</v>
      </c>
    </row>
    <row r="670">
      <c r="A670" s="24">
        <v>660.0</v>
      </c>
      <c r="B670" s="25" t="s">
        <v>3011</v>
      </c>
      <c r="C670" s="26" t="s">
        <v>3147</v>
      </c>
      <c r="D670" s="26" t="s">
        <v>3148</v>
      </c>
      <c r="E670" s="26" t="s">
        <v>3149</v>
      </c>
      <c r="F670" s="26" t="s">
        <v>3150</v>
      </c>
      <c r="G670" s="26" t="s">
        <v>3151</v>
      </c>
      <c r="H670" s="27" t="s">
        <v>148</v>
      </c>
    </row>
    <row r="671">
      <c r="A671" s="24">
        <v>661.0</v>
      </c>
      <c r="B671" s="25" t="s">
        <v>3011</v>
      </c>
      <c r="C671" s="26" t="s">
        <v>3152</v>
      </c>
      <c r="D671" s="26" t="s">
        <v>3153</v>
      </c>
      <c r="E671" s="26" t="s">
        <v>3154</v>
      </c>
      <c r="F671" s="26" t="s">
        <v>3155</v>
      </c>
      <c r="G671" s="26" t="s">
        <v>3156</v>
      </c>
      <c r="H671" s="27" t="s">
        <v>161</v>
      </c>
    </row>
    <row r="672">
      <c r="A672" s="24">
        <v>662.0</v>
      </c>
      <c r="B672" s="25" t="s">
        <v>3011</v>
      </c>
      <c r="C672" s="26" t="s">
        <v>3157</v>
      </c>
      <c r="D672" s="26" t="s">
        <v>3145</v>
      </c>
      <c r="E672" s="26" t="s">
        <v>3158</v>
      </c>
      <c r="F672" s="26" t="s">
        <v>3159</v>
      </c>
      <c r="G672" s="26" t="s">
        <v>3160</v>
      </c>
      <c r="H672" s="27" t="s">
        <v>161</v>
      </c>
    </row>
    <row r="673">
      <c r="A673" s="24">
        <v>663.0</v>
      </c>
      <c r="B673" s="25" t="s">
        <v>3011</v>
      </c>
      <c r="C673" s="26" t="s">
        <v>3162</v>
      </c>
      <c r="D673" s="26" t="s">
        <v>3163</v>
      </c>
      <c r="E673" s="26" t="s">
        <v>3164</v>
      </c>
      <c r="F673" s="26" t="s">
        <v>3165</v>
      </c>
      <c r="G673" s="26" t="s">
        <v>3166</v>
      </c>
      <c r="H673" s="27" t="s">
        <v>148</v>
      </c>
    </row>
    <row r="674">
      <c r="A674" s="24">
        <v>664.0</v>
      </c>
      <c r="B674" s="25" t="s">
        <v>3011</v>
      </c>
      <c r="C674" s="26" t="s">
        <v>3167</v>
      </c>
      <c r="D674" s="26" t="s">
        <v>3168</v>
      </c>
      <c r="E674" s="26" t="s">
        <v>3169</v>
      </c>
      <c r="F674" s="26" t="s">
        <v>3170</v>
      </c>
      <c r="G674" s="26" t="s">
        <v>3171</v>
      </c>
      <c r="H674" s="27" t="s">
        <v>161</v>
      </c>
    </row>
    <row r="675">
      <c r="A675" s="24">
        <v>665.0</v>
      </c>
      <c r="B675" s="25" t="s">
        <v>3011</v>
      </c>
      <c r="C675" s="26" t="s">
        <v>3172</v>
      </c>
      <c r="D675" s="26" t="s">
        <v>3144</v>
      </c>
      <c r="E675" s="26" t="s">
        <v>3146</v>
      </c>
      <c r="F675" s="26" t="s">
        <v>3145</v>
      </c>
      <c r="G675" s="26" t="s">
        <v>3143</v>
      </c>
      <c r="H675" s="27" t="s">
        <v>173</v>
      </c>
    </row>
    <row r="676">
      <c r="A676" s="24">
        <v>666.0</v>
      </c>
      <c r="B676" s="25" t="s">
        <v>3011</v>
      </c>
      <c r="C676" s="26" t="s">
        <v>3173</v>
      </c>
      <c r="D676" s="26" t="s">
        <v>2318</v>
      </c>
      <c r="E676" s="26" t="s">
        <v>3174</v>
      </c>
      <c r="F676" s="26" t="s">
        <v>3034</v>
      </c>
      <c r="G676" s="26" t="s">
        <v>2319</v>
      </c>
      <c r="H676" s="27" t="s">
        <v>161</v>
      </c>
    </row>
    <row r="677">
      <c r="A677" s="24">
        <v>667.0</v>
      </c>
      <c r="B677" s="25" t="s">
        <v>3011</v>
      </c>
      <c r="C677" s="26" t="s">
        <v>3175</v>
      </c>
      <c r="D677" s="26" t="s">
        <v>2392</v>
      </c>
      <c r="E677" s="26" t="s">
        <v>2508</v>
      </c>
      <c r="F677" s="26" t="s">
        <v>3176</v>
      </c>
      <c r="G677" s="26" t="s">
        <v>3177</v>
      </c>
      <c r="H677" s="27" t="s">
        <v>154</v>
      </c>
    </row>
    <row r="678">
      <c r="A678" s="24">
        <v>668.0</v>
      </c>
      <c r="B678" s="25" t="s">
        <v>3011</v>
      </c>
      <c r="C678" s="26" t="s">
        <v>3178</v>
      </c>
      <c r="D678" s="26" t="s">
        <v>3179</v>
      </c>
      <c r="E678" s="26" t="s">
        <v>3180</v>
      </c>
      <c r="F678" s="26" t="s">
        <v>3181</v>
      </c>
      <c r="G678" s="26" t="s">
        <v>3182</v>
      </c>
      <c r="H678" s="27" t="s">
        <v>173</v>
      </c>
    </row>
  </sheetData>
  <mergeCells count="9">
    <mergeCell ref="A539:H539"/>
    <mergeCell ref="A638:H638"/>
    <mergeCell ref="A2:H2"/>
    <mergeCell ref="A33:H33"/>
    <mergeCell ref="A64:H64"/>
    <mergeCell ref="A240:H240"/>
    <mergeCell ref="A266:H266"/>
    <mergeCell ref="A367:H367"/>
    <mergeCell ref="A438:H438"/>
  </mergeCells>
  <printOptions gridLines="1" horizontalCentered="1"/>
  <pageMargins bottom="0.75" footer="0.0" header="0.0" left="0.7" right="0.7" top="0.75"/>
  <pageSetup fitToHeight="0" paperSize="9" cellComments="atEnd" orientation="landscape" pageOrder="overThenDown"/>
  <drawing r:id="rId1"/>
</worksheet>
</file>